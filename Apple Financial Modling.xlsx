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IG PROJECT\"/>
    </mc:Choice>
  </mc:AlternateContent>
  <bookViews>
    <workbookView xWindow="0" yWindow="0" windowWidth="20490" windowHeight="7650" firstSheet="2" activeTab="6"/>
  </bookViews>
  <sheets>
    <sheet name="Income_Statement" sheetId="1" r:id="rId1"/>
    <sheet name="Balance_Sheet" sheetId="2" r:id="rId2"/>
    <sheet name="Cash_Flow" sheetId="3" r:id="rId3"/>
    <sheet name="Financial_Ratios" sheetId="4" r:id="rId4"/>
    <sheet name="Stock_Market_Data" sheetId="5" r:id="rId5"/>
    <sheet name="Model_Assumptions" sheetId="6" r:id="rId6"/>
    <sheet name="Financial_Analysis" sheetId="8" r:id="rId7"/>
    <sheet name="Forecast" sheetId="9" r:id="rId8"/>
    <sheet name="DCF_Valuation" sheetId="10" r:id="rId9"/>
    <sheet name="Sensitivity" sheetId="11" r:id="rId10"/>
    <sheet name="Summary" sheetId="12" r:id="rId11"/>
  </sheets>
  <calcPr calcId="162913"/>
</workbook>
</file>

<file path=xl/calcChain.xml><?xml version="1.0" encoding="utf-8"?>
<calcChain xmlns="http://schemas.openxmlformats.org/spreadsheetml/2006/main">
  <c r="B22" i="11" l="1"/>
  <c r="C22" i="11"/>
  <c r="D22" i="11"/>
  <c r="E22" i="11"/>
  <c r="F22" i="11"/>
  <c r="B23" i="11"/>
  <c r="C23" i="11"/>
  <c r="D23" i="11"/>
  <c r="E23" i="11"/>
  <c r="F23" i="11"/>
  <c r="B24" i="11"/>
  <c r="C24" i="11"/>
  <c r="D24" i="11"/>
  <c r="E24" i="11"/>
  <c r="F24" i="11"/>
  <c r="B25" i="11"/>
  <c r="C25" i="11"/>
  <c r="D25" i="11"/>
  <c r="E25" i="11"/>
  <c r="F25" i="11"/>
  <c r="C21" i="11"/>
  <c r="D21" i="11"/>
  <c r="E21" i="11"/>
  <c r="F21" i="11"/>
  <c r="B13" i="11"/>
  <c r="C13" i="11"/>
  <c r="D13" i="11"/>
  <c r="E13" i="11"/>
  <c r="F13" i="11"/>
  <c r="B14" i="11"/>
  <c r="H31" i="12" s="1"/>
  <c r="C14" i="11"/>
  <c r="D14" i="11"/>
  <c r="E14" i="11"/>
  <c r="F14" i="11"/>
  <c r="B15" i="11"/>
  <c r="H32" i="12" s="1"/>
  <c r="C15" i="11"/>
  <c r="D15" i="11"/>
  <c r="E15" i="11"/>
  <c r="F15" i="11"/>
  <c r="B16" i="11"/>
  <c r="H33" i="12" s="1"/>
  <c r="C16" i="11"/>
  <c r="D16" i="11"/>
  <c r="E16" i="11"/>
  <c r="F16" i="11"/>
  <c r="C12" i="11"/>
  <c r="D12" i="11"/>
  <c r="E12" i="11"/>
  <c r="F12" i="11"/>
  <c r="H18" i="12"/>
  <c r="H19" i="12"/>
  <c r="H20" i="12"/>
  <c r="H21" i="12"/>
  <c r="H22" i="12"/>
  <c r="H23" i="12"/>
  <c r="H24" i="12"/>
  <c r="F13" i="12"/>
  <c r="G13" i="12"/>
  <c r="F12" i="12"/>
  <c r="G12" i="12"/>
  <c r="F11" i="12"/>
  <c r="G11" i="12"/>
  <c r="F10" i="12"/>
  <c r="G10" i="12"/>
  <c r="F9" i="12"/>
  <c r="G9" i="12"/>
  <c r="F8" i="12"/>
  <c r="G8" i="12"/>
  <c r="E7" i="12"/>
  <c r="F7" i="12"/>
  <c r="G7" i="12"/>
  <c r="E8" i="12"/>
  <c r="E9" i="12"/>
  <c r="E10" i="12"/>
  <c r="E11" i="12"/>
  <c r="E12" i="12"/>
  <c r="E13" i="12"/>
  <c r="E6" i="12"/>
  <c r="F6" i="12"/>
  <c r="G6" i="12"/>
  <c r="C22" i="12"/>
  <c r="D22" i="12"/>
  <c r="E22" i="12"/>
  <c r="C19" i="12"/>
  <c r="D19" i="12"/>
  <c r="E19" i="12"/>
  <c r="B18" i="12"/>
  <c r="C18" i="12"/>
  <c r="D18" i="12"/>
  <c r="E18" i="12"/>
  <c r="B19" i="12"/>
  <c r="B20" i="12"/>
  <c r="C20" i="12"/>
  <c r="D20" i="12"/>
  <c r="E20" i="12"/>
  <c r="B21" i="12"/>
  <c r="C21" i="12"/>
  <c r="D21" i="12"/>
  <c r="E21" i="12"/>
  <c r="B22" i="12"/>
  <c r="C17" i="12"/>
  <c r="D17" i="12"/>
  <c r="E17" i="12"/>
  <c r="B6" i="12"/>
  <c r="B7" i="12"/>
  <c r="B8" i="12"/>
  <c r="B9" i="12"/>
  <c r="B10" i="12"/>
  <c r="B11" i="12"/>
  <c r="B12" i="12"/>
  <c r="H29" i="12"/>
  <c r="H17" i="12"/>
  <c r="B17" i="12"/>
  <c r="B5" i="12"/>
  <c r="B21" i="11"/>
  <c r="B12" i="11"/>
  <c r="B7" i="11"/>
  <c r="B6" i="11"/>
  <c r="B5" i="11"/>
  <c r="B4" i="11"/>
  <c r="B14" i="10"/>
  <c r="B7" i="10"/>
  <c r="B8" i="10"/>
  <c r="B43" i="10" s="1"/>
  <c r="B56" i="10" s="1"/>
  <c r="B9" i="10"/>
  <c r="B45" i="10" s="1"/>
  <c r="B49" i="10" s="1"/>
  <c r="B10" i="10"/>
  <c r="B51" i="10" s="1"/>
  <c r="B26" i="10"/>
  <c r="E17" i="10"/>
  <c r="D17" i="10"/>
  <c r="C17" i="10"/>
  <c r="B17" i="10"/>
  <c r="E14" i="10"/>
  <c r="C14" i="10"/>
  <c r="D14" i="10"/>
  <c r="E13" i="10"/>
  <c r="B25" i="10" s="1"/>
  <c r="B27" i="10" s="1"/>
  <c r="B30" i="10" s="1"/>
  <c r="D13" i="10"/>
  <c r="D21" i="10" s="1"/>
  <c r="C13" i="10"/>
  <c r="C21" i="10" s="1"/>
  <c r="B13" i="10"/>
  <c r="B21" i="10" s="1"/>
  <c r="B6" i="10"/>
  <c r="E18" i="10" s="1"/>
  <c r="B31" i="10" s="1"/>
  <c r="B48" i="9"/>
  <c r="C48" i="9"/>
  <c r="D48" i="9"/>
  <c r="E48" i="9"/>
  <c r="B49" i="9"/>
  <c r="C49" i="9"/>
  <c r="D49" i="9"/>
  <c r="E49" i="9"/>
  <c r="B50" i="9"/>
  <c r="C50" i="9"/>
  <c r="D50" i="9"/>
  <c r="E50" i="9"/>
  <c r="C47" i="9"/>
  <c r="D47" i="9"/>
  <c r="E47" i="9"/>
  <c r="B39" i="9"/>
  <c r="C39" i="9"/>
  <c r="D39" i="9"/>
  <c r="E39" i="9"/>
  <c r="B40" i="9"/>
  <c r="C40" i="9"/>
  <c r="D40" i="9"/>
  <c r="E40" i="9"/>
  <c r="B41" i="9"/>
  <c r="C41" i="9"/>
  <c r="D41" i="9"/>
  <c r="E41" i="9"/>
  <c r="E43" i="9" s="1"/>
  <c r="B42" i="9"/>
  <c r="C42" i="9"/>
  <c r="D42" i="9"/>
  <c r="E42" i="9"/>
  <c r="B43" i="9"/>
  <c r="C43" i="9"/>
  <c r="D43" i="9"/>
  <c r="C38" i="9"/>
  <c r="D38" i="9"/>
  <c r="E38" i="9"/>
  <c r="C34" i="9"/>
  <c r="D34" i="9"/>
  <c r="E34" i="9"/>
  <c r="C33" i="9"/>
  <c r="D33" i="9"/>
  <c r="E33" i="9"/>
  <c r="C29" i="9"/>
  <c r="D29" i="9"/>
  <c r="E29" i="9"/>
  <c r="C28" i="9"/>
  <c r="D28" i="9"/>
  <c r="E28" i="9"/>
  <c r="C27" i="9"/>
  <c r="D27" i="9" s="1"/>
  <c r="E27" i="9" s="1"/>
  <c r="C23" i="9"/>
  <c r="D23" i="9"/>
  <c r="E23" i="9"/>
  <c r="C22" i="9"/>
  <c r="D22" i="9"/>
  <c r="E22" i="9"/>
  <c r="C19" i="9"/>
  <c r="D19" i="9"/>
  <c r="E19" i="9"/>
  <c r="C16" i="9"/>
  <c r="D16" i="9"/>
  <c r="E16" i="9"/>
  <c r="C15" i="9"/>
  <c r="C7" i="9"/>
  <c r="D7" i="9"/>
  <c r="D11" i="9" s="1"/>
  <c r="D12" i="9" s="1"/>
  <c r="E7" i="9"/>
  <c r="E11" i="9" s="1"/>
  <c r="E12" i="9" s="1"/>
  <c r="C12" i="9"/>
  <c r="C11" i="9"/>
  <c r="C10" i="9"/>
  <c r="D10" i="9"/>
  <c r="E10" i="9"/>
  <c r="C6" i="9"/>
  <c r="D6" i="9"/>
  <c r="E6" i="9"/>
  <c r="B52" i="9"/>
  <c r="B51" i="9"/>
  <c r="B47" i="9"/>
  <c r="B38" i="9"/>
  <c r="B35" i="9"/>
  <c r="B34" i="9"/>
  <c r="B33" i="9"/>
  <c r="E32" i="9"/>
  <c r="D32" i="9"/>
  <c r="C32" i="9"/>
  <c r="B32" i="9"/>
  <c r="B29" i="9"/>
  <c r="B28" i="9"/>
  <c r="B27" i="9"/>
  <c r="B24" i="9"/>
  <c r="B23" i="9"/>
  <c r="B22" i="9"/>
  <c r="B19" i="9"/>
  <c r="E18" i="9"/>
  <c r="D18" i="9"/>
  <c r="C18" i="9"/>
  <c r="B18" i="9"/>
  <c r="B16" i="9"/>
  <c r="E15" i="9"/>
  <c r="D15" i="9"/>
  <c r="B15" i="9"/>
  <c r="B12" i="9"/>
  <c r="B11" i="9"/>
  <c r="B10" i="9"/>
  <c r="B7" i="9"/>
  <c r="B6" i="9"/>
  <c r="E47" i="8"/>
  <c r="E48" i="8"/>
  <c r="E49" i="8"/>
  <c r="E50" i="8"/>
  <c r="E51" i="8"/>
  <c r="E52" i="8"/>
  <c r="E53" i="8"/>
  <c r="E54" i="8"/>
  <c r="C53" i="8"/>
  <c r="D53" i="8"/>
  <c r="C52" i="8"/>
  <c r="D52" i="8"/>
  <c r="C49" i="8"/>
  <c r="D49" i="8"/>
  <c r="C47" i="8"/>
  <c r="D47" i="8"/>
  <c r="C46" i="8"/>
  <c r="D46" i="8"/>
  <c r="B62" i="8"/>
  <c r="B61" i="8"/>
  <c r="B60" i="8"/>
  <c r="B59" i="8"/>
  <c r="B58" i="8"/>
  <c r="B57" i="8"/>
  <c r="D51" i="8"/>
  <c r="D54" i="8"/>
  <c r="C54" i="8"/>
  <c r="B54" i="8"/>
  <c r="B53" i="8"/>
  <c r="B52" i="8"/>
  <c r="C51" i="8"/>
  <c r="B51" i="8"/>
  <c r="D50" i="8"/>
  <c r="C50" i="8"/>
  <c r="B50" i="8"/>
  <c r="B49" i="8"/>
  <c r="D48" i="8"/>
  <c r="C48" i="8"/>
  <c r="B48" i="8"/>
  <c r="B47" i="8"/>
  <c r="E46" i="8"/>
  <c r="B46" i="8"/>
  <c r="C43" i="8"/>
  <c r="D43" i="8"/>
  <c r="C42" i="8"/>
  <c r="D42" i="8"/>
  <c r="C41" i="8"/>
  <c r="D41" i="8"/>
  <c r="E41" i="8" s="1"/>
  <c r="C40" i="8"/>
  <c r="D40" i="8"/>
  <c r="C39" i="8"/>
  <c r="D39" i="8"/>
  <c r="C38" i="8"/>
  <c r="D38" i="8"/>
  <c r="E38" i="8"/>
  <c r="C37" i="8"/>
  <c r="D37" i="8"/>
  <c r="C36" i="8"/>
  <c r="D36" i="8"/>
  <c r="E37" i="8"/>
  <c r="E42" i="8"/>
  <c r="E43" i="8"/>
  <c r="B43" i="8"/>
  <c r="B42" i="8"/>
  <c r="B41" i="8"/>
  <c r="E40" i="8"/>
  <c r="B40" i="8"/>
  <c r="E39" i="8"/>
  <c r="B39" i="8"/>
  <c r="B38" i="8"/>
  <c r="B37" i="8"/>
  <c r="E36" i="8"/>
  <c r="B36" i="8"/>
  <c r="C33" i="8"/>
  <c r="D33" i="8"/>
  <c r="C32" i="8"/>
  <c r="D32" i="8"/>
  <c r="C31" i="8"/>
  <c r="D31" i="8"/>
  <c r="C30" i="8"/>
  <c r="D30" i="8"/>
  <c r="C29" i="8"/>
  <c r="D29" i="8"/>
  <c r="C28" i="8"/>
  <c r="D28" i="8"/>
  <c r="C26" i="8"/>
  <c r="D26" i="8"/>
  <c r="E27" i="8"/>
  <c r="E28" i="8"/>
  <c r="E29" i="8"/>
  <c r="E31" i="8"/>
  <c r="E32" i="8"/>
  <c r="E33" i="8"/>
  <c r="B33" i="8"/>
  <c r="B32" i="8"/>
  <c r="B31" i="8"/>
  <c r="E30" i="8"/>
  <c r="B30" i="8"/>
  <c r="B29" i="8"/>
  <c r="B28" i="8"/>
  <c r="D27" i="8"/>
  <c r="C27" i="8"/>
  <c r="B27" i="8"/>
  <c r="E26" i="8"/>
  <c r="B26" i="8"/>
  <c r="E18" i="8"/>
  <c r="E19" i="8"/>
  <c r="E20" i="8"/>
  <c r="E21" i="8"/>
  <c r="E22" i="8"/>
  <c r="E23" i="8"/>
  <c r="B17" i="8"/>
  <c r="E17" i="8" s="1"/>
  <c r="C17" i="8"/>
  <c r="D17" i="8"/>
  <c r="D23" i="8"/>
  <c r="C23" i="8"/>
  <c r="D22" i="8"/>
  <c r="C22" i="8"/>
  <c r="B22" i="8"/>
  <c r="D21" i="8"/>
  <c r="C21" i="8"/>
  <c r="D20" i="8"/>
  <c r="C20" i="8"/>
  <c r="B20" i="8"/>
  <c r="D19" i="8"/>
  <c r="C19" i="8"/>
  <c r="B19" i="8"/>
  <c r="D18" i="8"/>
  <c r="C18" i="8"/>
  <c r="B18" i="8"/>
  <c r="D12" i="8"/>
  <c r="C12" i="8"/>
  <c r="C10" i="8"/>
  <c r="D10" i="8"/>
  <c r="C8" i="8"/>
  <c r="D8" i="8"/>
  <c r="D7" i="8"/>
  <c r="C9" i="8"/>
  <c r="D9" i="8"/>
  <c r="E9" i="8" s="1"/>
  <c r="C11" i="8"/>
  <c r="D11" i="8"/>
  <c r="C13" i="8"/>
  <c r="D13" i="8"/>
  <c r="E13" i="8"/>
  <c r="C14" i="8"/>
  <c r="D14" i="8"/>
  <c r="E7" i="8"/>
  <c r="E8" i="8"/>
  <c r="E10" i="8"/>
  <c r="E11" i="8"/>
  <c r="E12" i="8"/>
  <c r="E14" i="8"/>
  <c r="B14" i="8"/>
  <c r="B13" i="8"/>
  <c r="E6" i="8"/>
  <c r="B12" i="8"/>
  <c r="B11" i="8"/>
  <c r="B10" i="8"/>
  <c r="B9" i="8"/>
  <c r="B8" i="8"/>
  <c r="C7" i="8"/>
  <c r="B7" i="8"/>
  <c r="D6" i="8"/>
  <c r="C6" i="8"/>
  <c r="B6" i="8"/>
  <c r="H30" i="12" l="1"/>
  <c r="B18" i="10"/>
  <c r="B22" i="10" s="1"/>
  <c r="B35" i="10" s="1"/>
  <c r="B32" i="10"/>
  <c r="B38" i="10" s="1"/>
  <c r="D18" i="10"/>
  <c r="D22" i="10" s="1"/>
  <c r="B37" i="10" s="1"/>
  <c r="C18" i="10"/>
  <c r="C22" i="10" s="1"/>
  <c r="B36" i="10" s="1"/>
  <c r="E21" i="10"/>
  <c r="B44" i="9"/>
  <c r="B39" i="10" l="1"/>
  <c r="C24" i="9"/>
  <c r="C51" i="9" s="1"/>
  <c r="D24" i="9"/>
  <c r="D51" i="9" s="1"/>
  <c r="B42" i="10" l="1"/>
  <c r="B44" i="10" s="1"/>
  <c r="B48" i="10" s="1"/>
  <c r="B50" i="10" s="1"/>
  <c r="B52" i="10" s="1"/>
  <c r="B55" i="10"/>
  <c r="B57" i="10" s="1"/>
  <c r="B58" i="10" s="1"/>
  <c r="E24" i="9"/>
  <c r="E51" i="9" s="1"/>
  <c r="D35" i="9" l="1"/>
  <c r="D52" i="9" s="1"/>
  <c r="C35" i="9"/>
  <c r="C52" i="9" s="1"/>
  <c r="E35" i="9" l="1"/>
  <c r="E52" i="9" s="1"/>
  <c r="D44" i="9"/>
  <c r="C44" i="9"/>
  <c r="E44" i="9" l="1"/>
</calcChain>
</file>

<file path=xl/sharedStrings.xml><?xml version="1.0" encoding="utf-8"?>
<sst xmlns="http://schemas.openxmlformats.org/spreadsheetml/2006/main" count="354" uniqueCount="258">
  <si>
    <t>Metric</t>
  </si>
  <si>
    <t>FY2023</t>
  </si>
  <si>
    <t>FY2024</t>
  </si>
  <si>
    <t>FY2025</t>
  </si>
  <si>
    <t>Revenue</t>
  </si>
  <si>
    <t>Cost of Revenue</t>
  </si>
  <si>
    <t>Gross Profit</t>
  </si>
  <si>
    <t>Research &amp; Development (R&amp;D)</t>
  </si>
  <si>
    <t>Selling, General &amp; Administrative (SG&amp;A)</t>
  </si>
  <si>
    <t>Total Operating Expenses</t>
  </si>
  <si>
    <t>Operating Income</t>
  </si>
  <si>
    <t>Interest Expense</t>
  </si>
  <si>
    <t>Interest Income</t>
  </si>
  <si>
    <t>Other Income/(Expense), net</t>
  </si>
  <si>
    <t>Income Before Tax</t>
  </si>
  <si>
    <t>Provision for Income Taxes</t>
  </si>
  <si>
    <t>Net Income</t>
  </si>
  <si>
    <t>Diluted Shares Outstanding (millions)</t>
  </si>
  <si>
    <t>Diluted EPS ($)</t>
  </si>
  <si>
    <t>Cash and Cash Equivalents</t>
  </si>
  <si>
    <t>Short-term Investments</t>
  </si>
  <si>
    <t>Accounts Receivable</t>
  </si>
  <si>
    <t>Inventories</t>
  </si>
  <si>
    <t>Other Current Assets</t>
  </si>
  <si>
    <t>Total Current Assets</t>
  </si>
  <si>
    <t>Property, Plant &amp; Equipment (net)</t>
  </si>
  <si>
    <t>Long-term Investments</t>
  </si>
  <si>
    <t>Goodwill</t>
  </si>
  <si>
    <t>Intangible Assets</t>
  </si>
  <si>
    <t>Other Long-term Assets</t>
  </si>
  <si>
    <t>Total Non-Current Assets</t>
  </si>
  <si>
    <t>Total Assets</t>
  </si>
  <si>
    <t>Accounts Payable</t>
  </si>
  <si>
    <t>Short-term Debt</t>
  </si>
  <si>
    <t>Other Current Liabilities</t>
  </si>
  <si>
    <t>Total Current Liabilities</t>
  </si>
  <si>
    <t>Long-term Debt</t>
  </si>
  <si>
    <t>Deferred Tax Liabilities</t>
  </si>
  <si>
    <t>Other Long-term Liabilities</t>
  </si>
  <si>
    <t>Total Non-Current Liabilities</t>
  </si>
  <si>
    <t>Total Liabilities</t>
  </si>
  <si>
    <t>Common Stock</t>
  </si>
  <si>
    <t>Retained Earnings</t>
  </si>
  <si>
    <t>Accumulated Other Comprehensive Income/(Loss)</t>
  </si>
  <si>
    <t>Total Shareholders Equity</t>
  </si>
  <si>
    <t>Total Liabilities and Equity</t>
  </si>
  <si>
    <t>Depreciation &amp; Amortization</t>
  </si>
  <si>
    <t>Stock-based Compensation</t>
  </si>
  <si>
    <t>Deferred Income Taxes</t>
  </si>
  <si>
    <t>Changes in Working Capital</t>
  </si>
  <si>
    <t>Other Operating Activities</t>
  </si>
  <si>
    <t>Cash from Operating Activities</t>
  </si>
  <si>
    <t>Capital Expenditures (CapEx)</t>
  </si>
  <si>
    <t>Acquisitions</t>
  </si>
  <si>
    <t>Purchase of Investments</t>
  </si>
  <si>
    <t>Sale of Investments</t>
  </si>
  <si>
    <t>Other Investing Activities</t>
  </si>
  <si>
    <t>Cash from Investing Activities</t>
  </si>
  <si>
    <t>Debt Issuance</t>
  </si>
  <si>
    <t>Debt Repayment</t>
  </si>
  <si>
    <t>Common Stock Repurchased</t>
  </si>
  <si>
    <t>Dividends Paid</t>
  </si>
  <si>
    <t>Other Financing Activities</t>
  </si>
  <si>
    <t>Cash from Financing Activities</t>
  </si>
  <si>
    <t>Net Change in Cash</t>
  </si>
  <si>
    <t>Free Cash Flow (FCF)</t>
  </si>
  <si>
    <t>Gross Margin (%)</t>
  </si>
  <si>
    <t>Operating Margin (%)</t>
  </si>
  <si>
    <t>Net Profit Margin (%)</t>
  </si>
  <si>
    <t>Return on Assets (ROA) (%)</t>
  </si>
  <si>
    <t>Return on Equity (ROE) (%)</t>
  </si>
  <si>
    <t>Current Ratio</t>
  </si>
  <si>
    <t>Debt-to-Equity Ratio</t>
  </si>
  <si>
    <t>Asset Turnover</t>
  </si>
  <si>
    <t>Inventory Turnover</t>
  </si>
  <si>
    <t>Price-to-Earnings (P/E) Ratio</t>
  </si>
  <si>
    <t>Enterprise Value (EV) in billions</t>
  </si>
  <si>
    <t>EV/EBITDA</t>
  </si>
  <si>
    <t>EV/FCF</t>
  </si>
  <si>
    <t>Stock Price (end of FY, $)</t>
  </si>
  <si>
    <t>52-Week High ($)</t>
  </si>
  <si>
    <t>52-Week Low ($)</t>
  </si>
  <si>
    <t>Market Capitalization (billions)</t>
  </si>
  <si>
    <t>Shares Outstanding (millions)</t>
  </si>
  <si>
    <t>Dividend per Share ($)</t>
  </si>
  <si>
    <t>Dividend Yield (%)</t>
  </si>
  <si>
    <t>Beta</t>
  </si>
  <si>
    <t>Assumption</t>
  </si>
  <si>
    <t>Historical_Avg</t>
  </si>
  <si>
    <t>Forecast_2026</t>
  </si>
  <si>
    <t>Forecast_2027</t>
  </si>
  <si>
    <t>Forecast_2028</t>
  </si>
  <si>
    <t>Revenue Growth Rate (%)</t>
  </si>
  <si>
    <t>R&amp;D as % of Revenue (%)</t>
  </si>
  <si>
    <t>SG&amp;A as % of Revenue (%)</t>
  </si>
  <si>
    <t>Tax Rate (%)</t>
  </si>
  <si>
    <t>CapEx as % of Revenue (%)</t>
  </si>
  <si>
    <t>Depreciation as % of Revenue (%)</t>
  </si>
  <si>
    <t>Working Capital as % of Revenue (%)</t>
  </si>
  <si>
    <t>Terminal Growth Rate (%)</t>
  </si>
  <si>
    <t>WACC / Discount Rate (%)</t>
  </si>
  <si>
    <t>FINANCIAL ANALYSIS</t>
  </si>
  <si>
    <t>Historical Financial Performance &amp; Key Metrics</t>
  </si>
  <si>
    <t>3-Year Trend</t>
  </si>
  <si>
    <t>INCOME STATEMENT ANALYSIS</t>
  </si>
  <si>
    <t>Revenue ($m)</t>
  </si>
  <si>
    <t>Revenue Growth (%)</t>
  </si>
  <si>
    <t>Gross Profit ($m)</t>
  </si>
  <si>
    <t>Operating Income ($m)</t>
  </si>
  <si>
    <t>Net Income ($m)</t>
  </si>
  <si>
    <t>RETURN &amp; OPERATING EFFICIENCY</t>
  </si>
  <si>
    <t>ROA (%)</t>
  </si>
  <si>
    <t>ROE (%)</t>
  </si>
  <si>
    <t>EPS Growth (%)</t>
  </si>
  <si>
    <t>Diluted Shares (m)</t>
  </si>
  <si>
    <t>Shares Change (%)</t>
  </si>
  <si>
    <t>LIQUIDITY &amp; LEVERAGE ANALYSIS</t>
  </si>
  <si>
    <t>Debt-to-Equity</t>
  </si>
  <si>
    <t>Total Debt ($m)</t>
  </si>
  <si>
    <t>Cash &amp; Investments ($m)</t>
  </si>
  <si>
    <t>Net Debt ($m)</t>
  </si>
  <si>
    <t>Total Assets ($m)</t>
  </si>
  <si>
    <t>Total Liabilities ($m)</t>
  </si>
  <si>
    <t>Shareholders' Equity ($m)</t>
  </si>
  <si>
    <t>CASH FLOW ANALYSIS</t>
  </si>
  <si>
    <t>Operating Cash Flow ($m)</t>
  </si>
  <si>
    <t>Capital Expenditures ($m)</t>
  </si>
  <si>
    <t>Free Cash Flow ($m</t>
  </si>
  <si>
    <t>FCF Margin (%)</t>
  </si>
  <si>
    <t>FCF Conversion (%)</t>
  </si>
  <si>
    <t>Dividends Paid ($m)</t>
  </si>
  <si>
    <t>Share Repurchases ($m)</t>
  </si>
  <si>
    <t>Net Change in Cash ($m)</t>
  </si>
  <si>
    <t>MARKET &amp; VALUATION ANALYSIS</t>
  </si>
  <si>
    <t>Stock Price ($)</t>
  </si>
  <si>
    <t>Market Capitalization ($bn)</t>
  </si>
  <si>
    <t>P/E Ratio</t>
  </si>
  <si>
    <t>EV ($bn)</t>
  </si>
  <si>
    <t>KEY HISTORICAL OBSERVATIONS</t>
  </si>
  <si>
    <t>Revenue CAGR (FY23–FY25)</t>
  </si>
  <si>
    <t>Net Income CAGR (FY23–FY25)</t>
  </si>
  <si>
    <t>FY2025 Gross Margin</t>
  </si>
  <si>
    <t>FY2025 Operating Margin</t>
  </si>
  <si>
    <t>FY2025 FCF Margin</t>
  </si>
  <si>
    <t>FY2025 Net Debt ($m)</t>
  </si>
  <si>
    <t>FINANCIAL FORECAST MODEL</t>
  </si>
  <si>
    <t>Historical Actual &amp; FY2026–FY2028 Forecast</t>
  </si>
  <si>
    <t>FY2025A</t>
  </si>
  <si>
    <t>FY2026E</t>
  </si>
  <si>
    <t>FY2027E</t>
  </si>
  <si>
    <t>FY2028E</t>
  </si>
  <si>
    <t>REVENUE FORECAST</t>
  </si>
  <si>
    <t>GROSS PROFIT FORECAST</t>
  </si>
  <si>
    <t>Cost of Revenue ($m)</t>
  </si>
  <si>
    <t>OPERATING EXPENSES</t>
  </si>
  <si>
    <t>R&amp;D as % of Revenue</t>
  </si>
  <si>
    <t>R&amp;D Expense ($m)</t>
  </si>
  <si>
    <t>SG&amp;A as % of Revenue</t>
  </si>
  <si>
    <t>SG&amp;A Expense ($m)</t>
  </si>
  <si>
    <t>OPERATING PROFITABILITY</t>
  </si>
  <si>
    <t>Total Operating Expenses ($m)</t>
  </si>
  <si>
    <t>PRE-TAX INCOME</t>
  </si>
  <si>
    <t>Interest Expense ($m)</t>
  </si>
  <si>
    <t>Interest Income ($m)</t>
  </si>
  <si>
    <t>Income Before Tax ($m)</t>
  </si>
  <si>
    <t>NET INCOME FORECAST</t>
  </si>
  <si>
    <t>Income Tax ($m)</t>
  </si>
  <si>
    <t>FREE CASH FLOW FORECAST</t>
  </si>
  <si>
    <t>Depreciation &amp; Amortization ($m)</t>
  </si>
  <si>
    <t>Change in Working Capital ($m)</t>
  </si>
  <si>
    <t>Free Cash Flow ($m)</t>
  </si>
  <si>
    <t>FORECAST SUMMARY</t>
  </si>
  <si>
    <t>DCF VALUATION</t>
  </si>
  <si>
    <t>Discounted Cash Flow Valuation Model</t>
  </si>
  <si>
    <t>Terminal</t>
  </si>
  <si>
    <t>DCF ASSUMPTIONS</t>
  </si>
  <si>
    <t>WACC / Discount Rate</t>
  </si>
  <si>
    <t>Terminal Growth Rate</t>
  </si>
  <si>
    <t>Shares Outstanding (million)</t>
  </si>
  <si>
    <t>Current Stock Price ($)</t>
  </si>
  <si>
    <t>FREE CASH FLOW PROJECTION</t>
  </si>
  <si>
    <t>Growth Rate</t>
  </si>
  <si>
    <t>DISCOUNTING</t>
  </si>
  <si>
    <t>Discount Period</t>
  </si>
  <si>
    <t>Discount Factor</t>
  </si>
  <si>
    <t>PRESENT VALUE OF CASH FLOWS</t>
  </si>
  <si>
    <t>Present Value of FCF ($m)</t>
  </si>
  <si>
    <t>TERMINAL VALUE</t>
  </si>
  <si>
    <t>Terminal Year FCF ($m)</t>
  </si>
  <si>
    <t>Terminal Value ($m)</t>
  </si>
  <si>
    <t>PV OF TERMINAL VALUE</t>
  </si>
  <si>
    <t>Terminal Discount Factor</t>
  </si>
  <si>
    <t>Present Value of Terminal Value ($m)</t>
  </si>
  <si>
    <t>ENTERPRISE VALUE</t>
  </si>
  <si>
    <t>PV of FY2026 FCF</t>
  </si>
  <si>
    <t>PV of FY2027 FCF</t>
  </si>
  <si>
    <t>PV of FY2028 FCF</t>
  </si>
  <si>
    <t>PV of Terminal Value</t>
  </si>
  <si>
    <t>Enterprise Value ($m)</t>
  </si>
  <si>
    <t>EQUITY VALUE</t>
  </si>
  <si>
    <t>Less: Net Debt ($m)</t>
  </si>
  <si>
    <t>Equity Value ($m)</t>
  </si>
  <si>
    <t>INTRINSIC VALUE</t>
  </si>
  <si>
    <t>DCF Equity Value ($m)</t>
  </si>
  <si>
    <t>Intrinsic Value per Share ($)</t>
  </si>
  <si>
    <t>Current Market Price ($)</t>
  </si>
  <si>
    <t>Implied Upside / (Downside) (%)</t>
  </si>
  <si>
    <t>VALUATION CHECK</t>
  </si>
  <si>
    <t>Implied Value per Share ($)</t>
  </si>
  <si>
    <t>DCF SENSITIVITY ANALYSIS</t>
  </si>
  <si>
    <t>Intrinsic Value per Share under Different WACC &amp; Terminal Growth Scenarios</t>
  </si>
  <si>
    <t>Base WACC</t>
  </si>
  <si>
    <t>Base Terminal Growth</t>
  </si>
  <si>
    <t>Base Intrinsic Value / Share</t>
  </si>
  <si>
    <t>Current Market Price</t>
  </si>
  <si>
    <t>DCF INTRINSIC VALUE PER SHARE</t>
  </si>
  <si>
    <t>WACC / Terminal Growth</t>
  </si>
  <si>
    <t>IMPLIED UPSIDE / (DOWNSIDE)</t>
  </si>
  <si>
    <t>KEY SENSITIVITY OBSERVATIONS</t>
  </si>
  <si>
    <t>1. Higher WACC reduces the present value of future cash flows.</t>
  </si>
  <si>
    <t>2. Higher terminal growth increases the terminal value and intrinsic value.</t>
  </si>
  <si>
    <t>3. The 9.0% WACC and 3.0% terminal growth scenario represents the base case.</t>
  </si>
  <si>
    <t>APPLE INC. — FINANCIAL MODELING &amp; VALUATION SUMMARY</t>
  </si>
  <si>
    <t>Historical Performance, Forecast &amp; DCF Valuation</t>
  </si>
  <si>
    <t>VALUATION SNAPSHOT</t>
  </si>
  <si>
    <t>DCF Intrinsic Value / Share</t>
  </si>
  <si>
    <t>Implied Upside / (Downside)</t>
  </si>
  <si>
    <t>WACC</t>
  </si>
  <si>
    <t>Equity Value</t>
  </si>
  <si>
    <t>Terminal Growth</t>
  </si>
  <si>
    <t>Enterprise Value</t>
  </si>
  <si>
    <t>Net Debt</t>
  </si>
  <si>
    <t>HISTORICAL PERFORMANCE</t>
  </si>
  <si>
    <t>Gross Margin</t>
  </si>
  <si>
    <t>Operating Margin</t>
  </si>
  <si>
    <t>Net Margin</t>
  </si>
  <si>
    <t>Free Cash Flow</t>
  </si>
  <si>
    <t>Diluted EPS</t>
  </si>
  <si>
    <t>Operating Margin %</t>
  </si>
  <si>
    <t>FCF Margin %</t>
  </si>
  <si>
    <t>Value</t>
  </si>
  <si>
    <t>PV of Forecast FCF</t>
  </si>
  <si>
    <t>Less: Net Debt</t>
  </si>
  <si>
    <t>Intrinsic Value / Share</t>
  </si>
  <si>
    <t>SENSITIVITY SUMMARY</t>
  </si>
  <si>
    <t>Scenario</t>
  </si>
  <si>
    <t>8.0% WACC / 2.0% Growth</t>
  </si>
  <si>
    <t>8.0% WACC / 4.0% Growth</t>
  </si>
  <si>
    <t>Base Case: 9.0% / 3.0%</t>
  </si>
  <si>
    <t>10.0% WACC / 2.0% Growth</t>
  </si>
  <si>
    <t>10.0% WACC / 4.0% Growth</t>
  </si>
  <si>
    <t>KEY MODEL OBSERVATIONS</t>
  </si>
  <si>
    <t>4. The sensitivity table shows how valuation changes under different discount-rate  and terminal-growth assumptions.</t>
  </si>
  <si>
    <t>1.Historical revenue and net income performance provide the foundation for the forecast period.</t>
  </si>
  <si>
    <t>2.The forecast assumes moderate revenue growth with gradual improvement in gross margin.</t>
  </si>
  <si>
    <t>3.Free cash flow remains a key driver of the DCF valuation.</t>
  </si>
  <si>
    <t>4.DCF value is sensitive to changes in WACC and terminal growth assumptions.</t>
  </si>
  <si>
    <r>
      <t xml:space="preserve">5.The base-case valuation uses a </t>
    </r>
    <r>
      <rPr>
        <sz val="14"/>
        <color theme="3" tint="-0.499984740745262"/>
        <rFont val="Calibri"/>
        <family val="2"/>
        <scheme val="minor"/>
      </rPr>
      <t>9.0%</t>
    </r>
    <r>
      <rPr>
        <sz val="14"/>
        <color theme="1"/>
        <rFont val="Calibri"/>
        <family val="2"/>
        <scheme val="minor"/>
      </rPr>
      <t xml:space="preserve"> WACC and </t>
    </r>
    <r>
      <rPr>
        <sz val="14"/>
        <color theme="3" tint="-0.499984740745262"/>
        <rFont val="Calibri"/>
        <family val="2"/>
        <scheme val="minor"/>
      </rPr>
      <t>3.0%</t>
    </r>
    <r>
      <rPr>
        <sz val="14"/>
        <color theme="1"/>
        <rFont val="Calibri"/>
        <family val="2"/>
        <scheme val="minor"/>
      </rPr>
      <t xml:space="preserve"> terminal growth rate.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</si>
</sst>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0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3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44" fontId="0" fillId="0" borderId="0" xfId="1" applyFont="1"/>
    <xf numFmtId="170" fontId="0" fillId="0" borderId="0" xfId="0" applyNumberFormat="1"/>
    <xf numFmtId="2" fontId="0" fillId="0" borderId="0" xfId="2" applyNumberFormat="1" applyFont="1"/>
    <xf numFmtId="10" fontId="0" fillId="0" borderId="0" xfId="2" applyNumberFormat="1" applyFont="1"/>
    <xf numFmtId="9" fontId="0" fillId="0" borderId="0" xfId="0" applyNumberFormat="1"/>
    <xf numFmtId="44" fontId="0" fillId="0" borderId="0" xfId="0" applyNumberForma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3" fillId="4" borderId="0" xfId="0" applyFont="1" applyFill="1" applyAlignment="1">
      <alignment horizontal="center"/>
    </xf>
    <xf numFmtId="44" fontId="8" fillId="0" borderId="0" xfId="0" applyNumberFormat="1" applyFont="1"/>
    <xf numFmtId="9" fontId="8" fillId="0" borderId="0" xfId="2" applyFont="1"/>
    <xf numFmtId="44" fontId="6" fillId="0" borderId="0" xfId="0" applyNumberFormat="1" applyFont="1"/>
    <xf numFmtId="9" fontId="6" fillId="0" borderId="0" xfId="2" applyFont="1"/>
    <xf numFmtId="2" fontId="6" fillId="0" borderId="0" xfId="2" applyNumberFormat="1" applyFont="1"/>
    <xf numFmtId="2" fontId="6" fillId="0" borderId="0" xfId="0" applyNumberFormat="1" applyFont="1"/>
    <xf numFmtId="44" fontId="6" fillId="0" borderId="0" xfId="1" applyFont="1"/>
    <xf numFmtId="0" fontId="5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9" fontId="8" fillId="0" borderId="0" xfId="0" applyNumberFormat="1" applyFont="1"/>
    <xf numFmtId="10" fontId="8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/>
    <xf numFmtId="0" fontId="9" fillId="3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1" max="1" width="38.28515625" bestFit="1" customWidth="1"/>
    <col min="2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383285</v>
      </c>
      <c r="C2">
        <v>391035</v>
      </c>
      <c r="D2">
        <v>416161</v>
      </c>
    </row>
    <row r="3" spans="1:4" x14ac:dyDescent="0.25">
      <c r="A3" t="s">
        <v>5</v>
      </c>
      <c r="B3">
        <v>214137</v>
      </c>
      <c r="C3">
        <v>210352</v>
      </c>
      <c r="D3">
        <v>220960</v>
      </c>
    </row>
    <row r="4" spans="1:4" x14ac:dyDescent="0.25">
      <c r="A4" t="s">
        <v>6</v>
      </c>
      <c r="B4">
        <v>169148</v>
      </c>
      <c r="C4">
        <v>180683</v>
      </c>
      <c r="D4">
        <v>195201</v>
      </c>
    </row>
    <row r="5" spans="1:4" x14ac:dyDescent="0.25">
      <c r="A5" t="s">
        <v>7</v>
      </c>
      <c r="B5">
        <v>29915</v>
      </c>
      <c r="C5">
        <v>31370</v>
      </c>
      <c r="D5">
        <v>32086</v>
      </c>
    </row>
    <row r="6" spans="1:4" x14ac:dyDescent="0.25">
      <c r="A6" t="s">
        <v>8</v>
      </c>
      <c r="B6">
        <v>24932</v>
      </c>
      <c r="C6">
        <v>26097</v>
      </c>
      <c r="D6">
        <v>27322</v>
      </c>
    </row>
    <row r="7" spans="1:4" x14ac:dyDescent="0.25">
      <c r="A7" t="s">
        <v>9</v>
      </c>
      <c r="B7">
        <v>54847</v>
      </c>
      <c r="C7">
        <v>57467</v>
      </c>
      <c r="D7">
        <v>59408</v>
      </c>
    </row>
    <row r="8" spans="1:4" x14ac:dyDescent="0.25">
      <c r="A8" t="s">
        <v>10</v>
      </c>
      <c r="B8">
        <v>114301</v>
      </c>
      <c r="C8">
        <v>123216</v>
      </c>
      <c r="D8">
        <v>135793</v>
      </c>
    </row>
    <row r="9" spans="1:4" x14ac:dyDescent="0.25">
      <c r="A9" t="s">
        <v>11</v>
      </c>
      <c r="B9">
        <v>3933</v>
      </c>
      <c r="C9">
        <v>3933</v>
      </c>
      <c r="D9">
        <v>3933</v>
      </c>
    </row>
    <row r="10" spans="1:4" x14ac:dyDescent="0.25">
      <c r="A10" t="s">
        <v>12</v>
      </c>
      <c r="B10">
        <v>3750</v>
      </c>
      <c r="C10">
        <v>3750</v>
      </c>
      <c r="D10">
        <v>3750</v>
      </c>
    </row>
    <row r="11" spans="1:4" x14ac:dyDescent="0.25">
      <c r="A11" t="s">
        <v>13</v>
      </c>
      <c r="B11">
        <v>-565</v>
      </c>
      <c r="C11">
        <v>382</v>
      </c>
      <c r="D11">
        <v>1050</v>
      </c>
    </row>
    <row r="12" spans="1:4" x14ac:dyDescent="0.25">
      <c r="A12" t="s">
        <v>14</v>
      </c>
      <c r="B12">
        <v>113553</v>
      </c>
      <c r="C12">
        <v>123517</v>
      </c>
      <c r="D12">
        <v>136660</v>
      </c>
    </row>
    <row r="13" spans="1:4" x14ac:dyDescent="0.25">
      <c r="A13" t="s">
        <v>15</v>
      </c>
      <c r="B13">
        <v>16741</v>
      </c>
      <c r="C13">
        <v>29781</v>
      </c>
      <c r="D13">
        <v>24650</v>
      </c>
    </row>
    <row r="14" spans="1:4" x14ac:dyDescent="0.25">
      <c r="A14" t="s">
        <v>16</v>
      </c>
      <c r="B14">
        <v>96995</v>
      </c>
      <c r="C14">
        <v>93736</v>
      </c>
      <c r="D14">
        <v>112010</v>
      </c>
    </row>
    <row r="15" spans="1:4" x14ac:dyDescent="0.25">
      <c r="A15" t="s">
        <v>17</v>
      </c>
      <c r="B15">
        <v>15812</v>
      </c>
      <c r="C15">
        <v>15204</v>
      </c>
      <c r="D15">
        <v>14998</v>
      </c>
    </row>
    <row r="16" spans="1:4" x14ac:dyDescent="0.25">
      <c r="A16" t="s">
        <v>18</v>
      </c>
      <c r="B16">
        <v>6.16</v>
      </c>
      <c r="C16">
        <v>6.16</v>
      </c>
      <c r="D16">
        <v>7.46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5" x14ac:dyDescent="0.25"/>
  <cols>
    <col min="1" max="1" width="46.85546875" bestFit="1" customWidth="1"/>
    <col min="2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</v>
      </c>
      <c r="B2">
        <v>29965</v>
      </c>
      <c r="C2">
        <v>29943</v>
      </c>
      <c r="D2">
        <v>35934</v>
      </c>
    </row>
    <row r="3" spans="1:4" x14ac:dyDescent="0.25">
      <c r="A3" t="s">
        <v>20</v>
      </c>
      <c r="B3">
        <v>31590</v>
      </c>
      <c r="C3">
        <v>35228</v>
      </c>
      <c r="D3">
        <v>38150</v>
      </c>
    </row>
    <row r="4" spans="1:4" x14ac:dyDescent="0.25">
      <c r="A4" t="s">
        <v>21</v>
      </c>
      <c r="B4">
        <v>29508</v>
      </c>
      <c r="C4">
        <v>32972</v>
      </c>
      <c r="D4">
        <v>34666</v>
      </c>
    </row>
    <row r="5" spans="1:4" x14ac:dyDescent="0.25">
      <c r="A5" t="s">
        <v>22</v>
      </c>
      <c r="B5">
        <v>6331</v>
      </c>
      <c r="C5">
        <v>6511</v>
      </c>
      <c r="D5">
        <v>7286</v>
      </c>
    </row>
    <row r="6" spans="1:4" x14ac:dyDescent="0.25">
      <c r="A6" t="s">
        <v>23</v>
      </c>
      <c r="B6">
        <v>14695</v>
      </c>
      <c r="C6">
        <v>16333</v>
      </c>
      <c r="D6">
        <v>17921</v>
      </c>
    </row>
    <row r="7" spans="1:4" x14ac:dyDescent="0.25">
      <c r="A7" t="s">
        <v>24</v>
      </c>
      <c r="B7">
        <v>143566</v>
      </c>
      <c r="C7">
        <v>152987</v>
      </c>
      <c r="D7">
        <v>147957</v>
      </c>
    </row>
    <row r="8" spans="1:4" x14ac:dyDescent="0.25">
      <c r="A8" t="s">
        <v>25</v>
      </c>
      <c r="B8">
        <v>43715</v>
      </c>
      <c r="C8">
        <v>44111</v>
      </c>
      <c r="D8">
        <v>45688</v>
      </c>
    </row>
    <row r="9" spans="1:4" x14ac:dyDescent="0.25">
      <c r="A9" t="s">
        <v>26</v>
      </c>
      <c r="B9">
        <v>100544</v>
      </c>
      <c r="C9">
        <v>100544</v>
      </c>
      <c r="D9">
        <v>100544</v>
      </c>
    </row>
    <row r="10" spans="1:4" x14ac:dyDescent="0.25">
      <c r="A10" t="s">
        <v>27</v>
      </c>
      <c r="B10">
        <v>0</v>
      </c>
      <c r="C10">
        <v>0</v>
      </c>
      <c r="D10">
        <v>0</v>
      </c>
    </row>
    <row r="11" spans="1:4" x14ac:dyDescent="0.25">
      <c r="A11" t="s">
        <v>28</v>
      </c>
      <c r="B11">
        <v>0</v>
      </c>
      <c r="C11">
        <v>0</v>
      </c>
      <c r="D11">
        <v>0</v>
      </c>
    </row>
    <row r="12" spans="1:4" x14ac:dyDescent="0.25">
      <c r="A12" t="s">
        <v>29</v>
      </c>
      <c r="B12">
        <v>64758</v>
      </c>
      <c r="C12">
        <v>67338</v>
      </c>
      <c r="D12">
        <v>65052</v>
      </c>
    </row>
    <row r="13" spans="1:4" x14ac:dyDescent="0.25">
      <c r="A13" t="s">
        <v>30</v>
      </c>
      <c r="B13">
        <v>209017</v>
      </c>
      <c r="C13">
        <v>212003</v>
      </c>
      <c r="D13">
        <v>211284</v>
      </c>
    </row>
    <row r="14" spans="1:4" x14ac:dyDescent="0.25">
      <c r="A14" t="s">
        <v>31</v>
      </c>
      <c r="B14">
        <v>352583</v>
      </c>
      <c r="C14">
        <v>364980</v>
      </c>
      <c r="D14">
        <v>359241</v>
      </c>
    </row>
    <row r="15" spans="1:4" x14ac:dyDescent="0.25">
      <c r="A15" t="s">
        <v>32</v>
      </c>
      <c r="B15">
        <v>62611</v>
      </c>
      <c r="C15">
        <v>68960</v>
      </c>
      <c r="D15">
        <v>65115</v>
      </c>
    </row>
    <row r="16" spans="1:4" x14ac:dyDescent="0.25">
      <c r="A16" t="s">
        <v>33</v>
      </c>
      <c r="B16">
        <v>9822</v>
      </c>
      <c r="C16">
        <v>9822</v>
      </c>
      <c r="D16">
        <v>8328</v>
      </c>
    </row>
    <row r="17" spans="1:4" x14ac:dyDescent="0.25">
      <c r="A17" t="s">
        <v>34</v>
      </c>
      <c r="B17">
        <v>58829</v>
      </c>
      <c r="C17">
        <v>70610</v>
      </c>
      <c r="D17">
        <v>70860</v>
      </c>
    </row>
    <row r="18" spans="1:4" x14ac:dyDescent="0.25">
      <c r="A18" t="s">
        <v>35</v>
      </c>
      <c r="B18">
        <v>145308</v>
      </c>
      <c r="C18">
        <v>176392</v>
      </c>
      <c r="D18">
        <v>165631</v>
      </c>
    </row>
    <row r="19" spans="1:4" x14ac:dyDescent="0.25">
      <c r="A19" t="s">
        <v>36</v>
      </c>
      <c r="B19">
        <v>95281</v>
      </c>
      <c r="C19">
        <v>85750</v>
      </c>
      <c r="D19">
        <v>78328</v>
      </c>
    </row>
    <row r="20" spans="1:4" x14ac:dyDescent="0.25">
      <c r="A20" t="s">
        <v>37</v>
      </c>
      <c r="B20">
        <v>0</v>
      </c>
      <c r="C20">
        <v>0</v>
      </c>
      <c r="D20">
        <v>0</v>
      </c>
    </row>
    <row r="21" spans="1:4" x14ac:dyDescent="0.25">
      <c r="A21" t="s">
        <v>38</v>
      </c>
      <c r="B21">
        <v>49848</v>
      </c>
      <c r="C21">
        <v>45888</v>
      </c>
      <c r="D21">
        <v>41549</v>
      </c>
    </row>
    <row r="22" spans="1:4" x14ac:dyDescent="0.25">
      <c r="A22" t="s">
        <v>39</v>
      </c>
      <c r="B22">
        <v>145129</v>
      </c>
      <c r="C22">
        <v>131638</v>
      </c>
      <c r="D22">
        <v>119877</v>
      </c>
    </row>
    <row r="23" spans="1:4" x14ac:dyDescent="0.25">
      <c r="A23" t="s">
        <v>40</v>
      </c>
      <c r="B23">
        <v>290437</v>
      </c>
      <c r="C23">
        <v>308030</v>
      </c>
      <c r="D23">
        <v>285508</v>
      </c>
    </row>
    <row r="24" spans="1:4" x14ac:dyDescent="0.25">
      <c r="A24" t="s">
        <v>41</v>
      </c>
      <c r="B24">
        <v>73812</v>
      </c>
      <c r="C24">
        <v>77500</v>
      </c>
      <c r="D24">
        <v>79280</v>
      </c>
    </row>
    <row r="25" spans="1:4" x14ac:dyDescent="0.25">
      <c r="A25" t="s">
        <v>42</v>
      </c>
      <c r="B25">
        <v>-214</v>
      </c>
      <c r="C25">
        <v>-20654</v>
      </c>
      <c r="D25">
        <v>8953</v>
      </c>
    </row>
    <row r="26" spans="1:4" x14ac:dyDescent="0.25">
      <c r="A26" t="s">
        <v>43</v>
      </c>
      <c r="B26">
        <v>58652</v>
      </c>
      <c r="C26">
        <v>56950</v>
      </c>
      <c r="D26">
        <v>73733</v>
      </c>
    </row>
    <row r="27" spans="1:4" x14ac:dyDescent="0.25">
      <c r="A27" t="s">
        <v>44</v>
      </c>
      <c r="B27">
        <v>62146</v>
      </c>
      <c r="C27">
        <v>56950</v>
      </c>
      <c r="D27">
        <v>73733</v>
      </c>
    </row>
    <row r="28" spans="1:4" x14ac:dyDescent="0.25">
      <c r="A28" t="s">
        <v>45</v>
      </c>
      <c r="B28">
        <v>352583</v>
      </c>
      <c r="C28">
        <v>364980</v>
      </c>
      <c r="D28">
        <v>359241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 x14ac:dyDescent="0.25"/>
  <cols>
    <col min="1" max="1" width="28.42578125" bestFit="1" customWidth="1"/>
    <col min="2" max="3" width="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</v>
      </c>
      <c r="B2">
        <v>96995</v>
      </c>
      <c r="C2">
        <v>93736</v>
      </c>
      <c r="D2">
        <v>112010</v>
      </c>
    </row>
    <row r="3" spans="1:4" x14ac:dyDescent="0.25">
      <c r="A3" t="s">
        <v>46</v>
      </c>
      <c r="B3">
        <v>11519</v>
      </c>
      <c r="C3">
        <v>11445</v>
      </c>
      <c r="D3">
        <v>11619</v>
      </c>
    </row>
    <row r="4" spans="1:4" x14ac:dyDescent="0.25">
      <c r="A4" t="s">
        <v>47</v>
      </c>
      <c r="B4">
        <v>10833</v>
      </c>
      <c r="C4">
        <v>11688</v>
      </c>
      <c r="D4">
        <v>12650</v>
      </c>
    </row>
    <row r="5" spans="1:4" x14ac:dyDescent="0.25">
      <c r="A5" t="s">
        <v>48</v>
      </c>
      <c r="B5">
        <v>-5774</v>
      </c>
      <c r="C5">
        <v>4311</v>
      </c>
      <c r="D5">
        <v>-2228</v>
      </c>
    </row>
    <row r="6" spans="1:4" x14ac:dyDescent="0.25">
      <c r="A6" t="s">
        <v>49</v>
      </c>
      <c r="B6">
        <v>1667</v>
      </c>
      <c r="C6">
        <v>-4089</v>
      </c>
      <c r="D6">
        <v>-5369</v>
      </c>
    </row>
    <row r="7" spans="1:4" x14ac:dyDescent="0.25">
      <c r="A7" t="s">
        <v>50</v>
      </c>
      <c r="B7">
        <v>1337</v>
      </c>
      <c r="C7">
        <v>1163</v>
      </c>
      <c r="D7">
        <v>2800</v>
      </c>
    </row>
    <row r="8" spans="1:4" x14ac:dyDescent="0.25">
      <c r="A8" t="s">
        <v>51</v>
      </c>
      <c r="B8">
        <v>110543</v>
      </c>
      <c r="C8">
        <v>118254</v>
      </c>
      <c r="D8">
        <v>111482</v>
      </c>
    </row>
    <row r="9" spans="1:4" x14ac:dyDescent="0.25">
      <c r="A9" t="s">
        <v>52</v>
      </c>
      <c r="B9">
        <v>-10959</v>
      </c>
      <c r="C9">
        <v>-9447</v>
      </c>
      <c r="D9">
        <v>-10657</v>
      </c>
    </row>
    <row r="10" spans="1:4" x14ac:dyDescent="0.25">
      <c r="A10" t="s">
        <v>53</v>
      </c>
      <c r="B10">
        <v>-1683</v>
      </c>
      <c r="C10">
        <v>-624</v>
      </c>
      <c r="D10">
        <v>-780</v>
      </c>
    </row>
    <row r="11" spans="1:4" x14ac:dyDescent="0.25">
      <c r="A11" t="s">
        <v>54</v>
      </c>
      <c r="B11">
        <v>-29513</v>
      </c>
      <c r="C11">
        <v>-34095</v>
      </c>
      <c r="D11">
        <v>-36890</v>
      </c>
    </row>
    <row r="12" spans="1:4" x14ac:dyDescent="0.25">
      <c r="A12" t="s">
        <v>55</v>
      </c>
      <c r="B12">
        <v>39686</v>
      </c>
      <c r="C12">
        <v>40000</v>
      </c>
      <c r="D12">
        <v>42120</v>
      </c>
    </row>
    <row r="13" spans="1:4" x14ac:dyDescent="0.25">
      <c r="A13" t="s">
        <v>56</v>
      </c>
      <c r="B13">
        <v>0</v>
      </c>
      <c r="C13">
        <v>0</v>
      </c>
      <c r="D13">
        <v>0</v>
      </c>
    </row>
    <row r="14" spans="1:4" x14ac:dyDescent="0.25">
      <c r="A14" t="s">
        <v>57</v>
      </c>
      <c r="B14">
        <v>-2469</v>
      </c>
      <c r="C14">
        <v>-4166</v>
      </c>
      <c r="D14">
        <v>15195</v>
      </c>
    </row>
    <row r="15" spans="1:4" x14ac:dyDescent="0.25">
      <c r="A15" t="s">
        <v>58</v>
      </c>
      <c r="B15">
        <v>5228</v>
      </c>
      <c r="C15">
        <v>5228</v>
      </c>
      <c r="D15">
        <v>5228</v>
      </c>
    </row>
    <row r="16" spans="1:4" x14ac:dyDescent="0.25">
      <c r="A16" t="s">
        <v>59</v>
      </c>
      <c r="B16">
        <v>-11151</v>
      </c>
      <c r="C16">
        <v>-11467</v>
      </c>
      <c r="D16">
        <v>-11151</v>
      </c>
    </row>
    <row r="17" spans="1:4" x14ac:dyDescent="0.25">
      <c r="A17" t="s">
        <v>60</v>
      </c>
      <c r="B17">
        <v>-77550</v>
      </c>
      <c r="C17">
        <v>-94999</v>
      </c>
      <c r="D17">
        <v>-95168</v>
      </c>
    </row>
    <row r="18" spans="1:4" x14ac:dyDescent="0.25">
      <c r="A18" t="s">
        <v>61</v>
      </c>
      <c r="B18">
        <v>-15025</v>
      </c>
      <c r="C18">
        <v>-15234</v>
      </c>
      <c r="D18">
        <v>-15421</v>
      </c>
    </row>
    <row r="19" spans="1:4" x14ac:dyDescent="0.25">
      <c r="A19" t="s">
        <v>62</v>
      </c>
      <c r="B19">
        <v>-6012</v>
      </c>
      <c r="C19">
        <v>-5802</v>
      </c>
      <c r="D19">
        <v>-6071</v>
      </c>
    </row>
    <row r="20" spans="1:4" x14ac:dyDescent="0.25">
      <c r="A20" t="s">
        <v>63</v>
      </c>
      <c r="B20">
        <v>-104510</v>
      </c>
      <c r="C20">
        <v>-122274</v>
      </c>
      <c r="D20">
        <v>-120686</v>
      </c>
    </row>
    <row r="21" spans="1:4" x14ac:dyDescent="0.25">
      <c r="A21" t="s">
        <v>64</v>
      </c>
      <c r="B21">
        <v>5760</v>
      </c>
      <c r="C21">
        <v>-794</v>
      </c>
      <c r="D21">
        <v>5991</v>
      </c>
    </row>
    <row r="22" spans="1:4" x14ac:dyDescent="0.25">
      <c r="A22" t="s">
        <v>65</v>
      </c>
      <c r="B22">
        <v>99584</v>
      </c>
      <c r="C22">
        <v>108807</v>
      </c>
      <c r="D22">
        <v>98767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x14ac:dyDescent="0.25"/>
  <cols>
    <col min="1" max="1" width="29.7109375" bestFit="1" customWidth="1"/>
    <col min="2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66</v>
      </c>
      <c r="B2">
        <v>44.1</v>
      </c>
      <c r="C2">
        <v>46.2</v>
      </c>
      <c r="D2">
        <v>46.9</v>
      </c>
    </row>
    <row r="3" spans="1:4" x14ac:dyDescent="0.25">
      <c r="A3" t="s">
        <v>67</v>
      </c>
      <c r="B3">
        <v>29.8</v>
      </c>
      <c r="C3">
        <v>31.5</v>
      </c>
      <c r="D3">
        <v>32.6</v>
      </c>
    </row>
    <row r="4" spans="1:4" x14ac:dyDescent="0.25">
      <c r="A4" t="s">
        <v>68</v>
      </c>
      <c r="B4">
        <v>25.3</v>
      </c>
      <c r="C4">
        <v>24</v>
      </c>
      <c r="D4">
        <v>26.9</v>
      </c>
    </row>
    <row r="5" spans="1:4" x14ac:dyDescent="0.25">
      <c r="A5" t="s">
        <v>69</v>
      </c>
      <c r="B5">
        <v>27.5</v>
      </c>
      <c r="C5">
        <v>25.7</v>
      </c>
      <c r="D5">
        <v>31.2</v>
      </c>
    </row>
    <row r="6" spans="1:4" x14ac:dyDescent="0.25">
      <c r="A6" t="s">
        <v>70</v>
      </c>
      <c r="B6">
        <v>156.1</v>
      </c>
      <c r="C6">
        <v>164.6</v>
      </c>
      <c r="D6">
        <v>151.9</v>
      </c>
    </row>
    <row r="7" spans="1:4" x14ac:dyDescent="0.25">
      <c r="A7" t="s">
        <v>71</v>
      </c>
      <c r="B7">
        <v>0.99</v>
      </c>
      <c r="C7">
        <v>0.87</v>
      </c>
      <c r="D7">
        <v>0.89</v>
      </c>
    </row>
    <row r="8" spans="1:4" x14ac:dyDescent="0.25">
      <c r="A8" t="s">
        <v>72</v>
      </c>
      <c r="B8">
        <v>1.81</v>
      </c>
      <c r="C8">
        <v>1.89</v>
      </c>
      <c r="D8">
        <v>1.35</v>
      </c>
    </row>
    <row r="9" spans="1:4" x14ac:dyDescent="0.25">
      <c r="A9" t="s">
        <v>73</v>
      </c>
      <c r="B9">
        <v>1.0900000000000001</v>
      </c>
      <c r="C9">
        <v>1.07</v>
      </c>
      <c r="D9">
        <v>1.1599999999999999</v>
      </c>
    </row>
    <row r="10" spans="1:4" x14ac:dyDescent="0.25">
      <c r="A10" t="s">
        <v>74</v>
      </c>
      <c r="B10">
        <v>33.799999999999997</v>
      </c>
      <c r="C10">
        <v>32.299999999999997</v>
      </c>
      <c r="D10">
        <v>30.3</v>
      </c>
    </row>
    <row r="11" spans="1:4" x14ac:dyDescent="0.25">
      <c r="A11" t="s">
        <v>75</v>
      </c>
      <c r="B11">
        <v>28.5</v>
      </c>
      <c r="C11">
        <v>29.2</v>
      </c>
      <c r="D11">
        <v>36.5</v>
      </c>
    </row>
    <row r="12" spans="1:4" x14ac:dyDescent="0.25">
      <c r="A12" t="s">
        <v>76</v>
      </c>
      <c r="B12">
        <v>2850</v>
      </c>
      <c r="C12">
        <v>2920</v>
      </c>
      <c r="D12">
        <v>3150</v>
      </c>
    </row>
    <row r="13" spans="1:4" x14ac:dyDescent="0.25">
      <c r="A13" t="s">
        <v>77</v>
      </c>
      <c r="B13">
        <v>23.8</v>
      </c>
      <c r="C13">
        <v>24.5</v>
      </c>
      <c r="D13">
        <v>26.2</v>
      </c>
    </row>
    <row r="14" spans="1:4" x14ac:dyDescent="0.25">
      <c r="A14" t="s">
        <v>78</v>
      </c>
      <c r="B14">
        <v>28.6</v>
      </c>
      <c r="C14">
        <v>26.8</v>
      </c>
      <c r="D14">
        <v>31.8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28.85546875" bestFit="1" customWidth="1"/>
    <col min="2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79</v>
      </c>
      <c r="B2">
        <v>171.21</v>
      </c>
      <c r="C2">
        <v>226.5</v>
      </c>
      <c r="D2">
        <v>273.85000000000002</v>
      </c>
    </row>
    <row r="3" spans="1:4" x14ac:dyDescent="0.25">
      <c r="A3" t="s">
        <v>80</v>
      </c>
      <c r="B3">
        <v>198.23</v>
      </c>
      <c r="C3">
        <v>237.23</v>
      </c>
      <c r="D3">
        <v>285.60000000000002</v>
      </c>
    </row>
    <row r="4" spans="1:4" x14ac:dyDescent="0.25">
      <c r="A4" t="s">
        <v>81</v>
      </c>
      <c r="B4">
        <v>124.17</v>
      </c>
      <c r="C4">
        <v>164.08</v>
      </c>
      <c r="D4">
        <v>209.27</v>
      </c>
    </row>
    <row r="5" spans="1:4" x14ac:dyDescent="0.25">
      <c r="A5" t="s">
        <v>82</v>
      </c>
      <c r="B5">
        <v>2720</v>
      </c>
      <c r="C5">
        <v>3440</v>
      </c>
      <c r="D5">
        <v>4107</v>
      </c>
    </row>
    <row r="6" spans="1:4" x14ac:dyDescent="0.25">
      <c r="A6" t="s">
        <v>83</v>
      </c>
      <c r="B6">
        <v>15812</v>
      </c>
      <c r="C6">
        <v>15204</v>
      </c>
      <c r="D6">
        <v>14998</v>
      </c>
    </row>
    <row r="7" spans="1:4" x14ac:dyDescent="0.25">
      <c r="A7" t="s">
        <v>84</v>
      </c>
      <c r="B7">
        <v>0.96</v>
      </c>
      <c r="C7">
        <v>1</v>
      </c>
      <c r="D7">
        <v>1.03</v>
      </c>
    </row>
    <row r="8" spans="1:4" x14ac:dyDescent="0.25">
      <c r="A8" t="s">
        <v>85</v>
      </c>
      <c r="B8">
        <v>0.56000000000000005</v>
      </c>
      <c r="C8">
        <v>0.44</v>
      </c>
      <c r="D8">
        <v>0.38</v>
      </c>
    </row>
    <row r="9" spans="1:4" x14ac:dyDescent="0.25">
      <c r="A9" t="s">
        <v>86</v>
      </c>
      <c r="B9">
        <v>1.28</v>
      </c>
      <c r="C9">
        <v>1.24</v>
      </c>
      <c r="D9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7" sqref="E17"/>
    </sheetView>
  </sheetViews>
  <sheetFormatPr defaultRowHeight="15" x14ac:dyDescent="0.25"/>
  <cols>
    <col min="1" max="1" width="34.140625" bestFit="1" customWidth="1"/>
    <col min="2" max="2" width="13.7109375" bestFit="1" customWidth="1"/>
    <col min="3" max="5" width="13.5703125" bestFit="1" customWidth="1"/>
  </cols>
  <sheetData>
    <row r="1" spans="1:5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5">
      <c r="A2" t="s">
        <v>92</v>
      </c>
      <c r="B2">
        <v>4.3</v>
      </c>
      <c r="C2">
        <v>5</v>
      </c>
      <c r="D2">
        <v>4.5</v>
      </c>
      <c r="E2">
        <v>4</v>
      </c>
    </row>
    <row r="3" spans="1:5" x14ac:dyDescent="0.25">
      <c r="A3" t="s">
        <v>66</v>
      </c>
      <c r="B3">
        <v>45.7</v>
      </c>
      <c r="C3">
        <v>47</v>
      </c>
      <c r="D3">
        <v>47.5</v>
      </c>
      <c r="E3">
        <v>48</v>
      </c>
    </row>
    <row r="4" spans="1:5" x14ac:dyDescent="0.25">
      <c r="A4" t="s">
        <v>93</v>
      </c>
      <c r="B4">
        <v>7.9</v>
      </c>
      <c r="C4">
        <v>7.8</v>
      </c>
      <c r="D4">
        <v>7.7</v>
      </c>
      <c r="E4">
        <v>7.6</v>
      </c>
    </row>
    <row r="5" spans="1:5" x14ac:dyDescent="0.25">
      <c r="A5" t="s">
        <v>94</v>
      </c>
      <c r="B5">
        <v>6.4</v>
      </c>
      <c r="C5">
        <v>6.5</v>
      </c>
      <c r="D5">
        <v>6.4</v>
      </c>
      <c r="E5">
        <v>6.3</v>
      </c>
    </row>
    <row r="6" spans="1:5" x14ac:dyDescent="0.25">
      <c r="A6" t="s">
        <v>95</v>
      </c>
      <c r="B6">
        <v>21.2</v>
      </c>
      <c r="C6">
        <v>18</v>
      </c>
      <c r="D6">
        <v>18</v>
      </c>
      <c r="E6">
        <v>18</v>
      </c>
    </row>
    <row r="7" spans="1:5" x14ac:dyDescent="0.25">
      <c r="A7" t="s">
        <v>96</v>
      </c>
      <c r="B7">
        <v>2.6</v>
      </c>
      <c r="C7">
        <v>2.6</v>
      </c>
      <c r="D7">
        <v>2.6</v>
      </c>
      <c r="E7">
        <v>2.6</v>
      </c>
    </row>
    <row r="8" spans="1:5" x14ac:dyDescent="0.25">
      <c r="A8" t="s">
        <v>97</v>
      </c>
      <c r="B8">
        <v>2.8</v>
      </c>
      <c r="C8">
        <v>2.8</v>
      </c>
      <c r="D8">
        <v>2.8</v>
      </c>
      <c r="E8">
        <v>2.8</v>
      </c>
    </row>
    <row r="9" spans="1:5" x14ac:dyDescent="0.25">
      <c r="A9" t="s">
        <v>98</v>
      </c>
      <c r="B9">
        <v>3.5</v>
      </c>
      <c r="C9">
        <v>3.5</v>
      </c>
      <c r="D9">
        <v>3.5</v>
      </c>
      <c r="E9">
        <v>3.5</v>
      </c>
    </row>
    <row r="10" spans="1:5" x14ac:dyDescent="0.25">
      <c r="A10" t="s">
        <v>99</v>
      </c>
      <c r="B10">
        <v>3</v>
      </c>
      <c r="C10">
        <v>3</v>
      </c>
      <c r="D10">
        <v>3</v>
      </c>
      <c r="E10">
        <v>3</v>
      </c>
    </row>
    <row r="11" spans="1:5" x14ac:dyDescent="0.25">
      <c r="A11" t="s">
        <v>100</v>
      </c>
      <c r="B11">
        <v>9.5</v>
      </c>
      <c r="C11">
        <v>9</v>
      </c>
      <c r="D11">
        <v>9</v>
      </c>
      <c r="E11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topLeftCell="A4" zoomScale="95" zoomScaleNormal="95" workbookViewId="0">
      <selection activeCell="A77" sqref="A77"/>
    </sheetView>
  </sheetViews>
  <sheetFormatPr defaultRowHeight="15" x14ac:dyDescent="0.25"/>
  <cols>
    <col min="1" max="1" width="43.140625" bestFit="1" customWidth="1"/>
    <col min="2" max="4" width="12.5703125" bestFit="1" customWidth="1"/>
    <col min="5" max="5" width="16.85546875" bestFit="1" customWidth="1"/>
  </cols>
  <sheetData>
    <row r="1" spans="1:5" ht="28.5" x14ac:dyDescent="0.45">
      <c r="A1" s="9" t="s">
        <v>101</v>
      </c>
      <c r="B1" s="9"/>
      <c r="C1" s="9"/>
      <c r="D1" s="9"/>
      <c r="E1" s="9"/>
    </row>
    <row r="2" spans="1:5" ht="18.75" x14ac:dyDescent="0.3">
      <c r="A2" s="15" t="s">
        <v>102</v>
      </c>
      <c r="B2" s="15"/>
      <c r="C2" s="15"/>
      <c r="D2" s="15"/>
      <c r="E2" s="15"/>
    </row>
    <row r="3" spans="1:5" ht="21" x14ac:dyDescent="0.35">
      <c r="A3" s="12" t="s">
        <v>0</v>
      </c>
      <c r="B3" s="12" t="s">
        <v>1</v>
      </c>
      <c r="C3" s="12" t="s">
        <v>2</v>
      </c>
      <c r="D3" s="12" t="s">
        <v>3</v>
      </c>
      <c r="E3" s="12" t="s">
        <v>103</v>
      </c>
    </row>
    <row r="5" spans="1:5" ht="18.75" x14ac:dyDescent="0.3">
      <c r="A5" s="13" t="s">
        <v>104</v>
      </c>
    </row>
    <row r="6" spans="1:5" ht="18.75" x14ac:dyDescent="0.3">
      <c r="A6" s="11" t="s">
        <v>105</v>
      </c>
      <c r="B6" s="4">
        <f>Income_Statement!B2</f>
        <v>383285</v>
      </c>
      <c r="C6" s="3">
        <f>Income_Statement!C2</f>
        <v>391035</v>
      </c>
      <c r="D6" s="3">
        <f>Income_Statement!D2</f>
        <v>416161</v>
      </c>
      <c r="E6" s="2">
        <f>(D6/B6)^(1/2)-1</f>
        <v>4.2004939182371137E-2</v>
      </c>
    </row>
    <row r="7" spans="1:5" ht="18.75" x14ac:dyDescent="0.3">
      <c r="A7" s="11" t="s">
        <v>106</v>
      </c>
      <c r="B7" t="str">
        <f>""</f>
        <v/>
      </c>
      <c r="C7" s="2">
        <f>C6/B6-1</f>
        <v>2.021994077514111E-2</v>
      </c>
      <c r="D7" s="2">
        <f>D6/C6-1</f>
        <v>6.425511782832749E-2</v>
      </c>
      <c r="E7" s="2">
        <f>AVERAGE(C7:D7)</f>
        <v>4.22375293017343E-2</v>
      </c>
    </row>
    <row r="8" spans="1:5" ht="18.75" x14ac:dyDescent="0.3">
      <c r="A8" s="11" t="s">
        <v>107</v>
      </c>
      <c r="B8" s="3">
        <f>Income_Statement!B4</f>
        <v>169148</v>
      </c>
      <c r="C8" s="3">
        <f>Income_Statement!C4</f>
        <v>180683</v>
      </c>
      <c r="D8" s="3">
        <f>Income_Statement!D4</f>
        <v>195201</v>
      </c>
      <c r="E8" s="2">
        <f>(D8/B8)^(1/2)-1</f>
        <v>7.4255499228169652E-2</v>
      </c>
    </row>
    <row r="9" spans="1:5" ht="18.75" x14ac:dyDescent="0.3">
      <c r="A9" s="11" t="s">
        <v>66</v>
      </c>
      <c r="B9" s="2">
        <f>Financial_Ratios!B2/100</f>
        <v>0.441</v>
      </c>
      <c r="C9" s="2">
        <f>Financial_Ratios!C2/100</f>
        <v>0.46200000000000002</v>
      </c>
      <c r="D9" s="2">
        <f>Financial_Ratios!D2/100</f>
        <v>0.46899999999999997</v>
      </c>
      <c r="E9" s="2">
        <f>D9-B9</f>
        <v>2.7999999999999969E-2</v>
      </c>
    </row>
    <row r="10" spans="1:5" ht="18.75" x14ac:dyDescent="0.3">
      <c r="A10" s="11" t="s">
        <v>108</v>
      </c>
      <c r="B10" s="3">
        <f>Income_Statement!B8</f>
        <v>114301</v>
      </c>
      <c r="C10" s="3">
        <f>Income_Statement!C8</f>
        <v>123216</v>
      </c>
      <c r="D10" s="3">
        <f>Income_Statement!D8</f>
        <v>135793</v>
      </c>
      <c r="E10" s="2">
        <f>(D10/B10)^(1/2)-1</f>
        <v>8.996782108804835E-2</v>
      </c>
    </row>
    <row r="11" spans="1:5" ht="18.75" x14ac:dyDescent="0.3">
      <c r="A11" s="11" t="s">
        <v>67</v>
      </c>
      <c r="B11" s="2">
        <f>Financial_Ratios!B3/100</f>
        <v>0.29799999999999999</v>
      </c>
      <c r="C11" s="2">
        <f>Financial_Ratios!C3/100</f>
        <v>0.315</v>
      </c>
      <c r="D11" s="2">
        <f>Financial_Ratios!D3/100</f>
        <v>0.32600000000000001</v>
      </c>
      <c r="E11" s="2">
        <f>D11-B11</f>
        <v>2.8000000000000025E-2</v>
      </c>
    </row>
    <row r="12" spans="1:5" ht="18.75" x14ac:dyDescent="0.3">
      <c r="A12" s="11" t="s">
        <v>109</v>
      </c>
      <c r="B12" s="3">
        <f>Income_Statement!B14</f>
        <v>96995</v>
      </c>
      <c r="C12" s="3">
        <f>Income_Statement!C14</f>
        <v>93736</v>
      </c>
      <c r="D12" s="3">
        <f>Income_Statement!D14</f>
        <v>112010</v>
      </c>
      <c r="E12" s="2">
        <f>(D12/B12)^(1/2)-1</f>
        <v>7.4617045233744017E-2</v>
      </c>
    </row>
    <row r="13" spans="1:5" ht="18.75" x14ac:dyDescent="0.3">
      <c r="A13" s="11" t="s">
        <v>68</v>
      </c>
      <c r="B13" s="2">
        <f>Financial_Ratios!B4/100</f>
        <v>0.253</v>
      </c>
      <c r="C13" s="2">
        <f>Financial_Ratios!C4/100</f>
        <v>0.24</v>
      </c>
      <c r="D13" s="2">
        <f>Financial_Ratios!D4/100</f>
        <v>0.26899999999999996</v>
      </c>
      <c r="E13" s="2">
        <f>D13-B13</f>
        <v>1.5999999999999959E-2</v>
      </c>
    </row>
    <row r="14" spans="1:5" ht="18.75" x14ac:dyDescent="0.3">
      <c r="A14" s="11" t="s">
        <v>18</v>
      </c>
      <c r="B14" s="3">
        <f>Income_Statement!B16</f>
        <v>6.16</v>
      </c>
      <c r="C14" s="3">
        <f>Income_Statement!C16</f>
        <v>6.16</v>
      </c>
      <c r="D14" s="3">
        <f>Income_Statement!D16</f>
        <v>7.46</v>
      </c>
      <c r="E14" s="2">
        <f>(D14/B14)^(1/2)-1</f>
        <v>0.10047215368629892</v>
      </c>
    </row>
    <row r="16" spans="1:5" ht="18.75" x14ac:dyDescent="0.3">
      <c r="A16" s="13" t="s">
        <v>110</v>
      </c>
    </row>
    <row r="17" spans="1:5" ht="18.75" x14ac:dyDescent="0.3">
      <c r="A17" s="11" t="s">
        <v>111</v>
      </c>
      <c r="B17" s="2">
        <f>Financial_Ratios!B5/100</f>
        <v>0.27500000000000002</v>
      </c>
      <c r="C17" s="2">
        <f>Financial_Ratios!C5/100</f>
        <v>0.25700000000000001</v>
      </c>
      <c r="D17" s="2">
        <f>Financial_Ratios!D5/100</f>
        <v>0.312</v>
      </c>
      <c r="E17" s="2">
        <f>D17-B17</f>
        <v>3.6999999999999977E-2</v>
      </c>
    </row>
    <row r="18" spans="1:5" ht="18.75" x14ac:dyDescent="0.3">
      <c r="A18" s="11" t="s">
        <v>112</v>
      </c>
      <c r="B18" s="6">
        <f>Financial_Ratios!B6/100</f>
        <v>1.5609999999999999</v>
      </c>
      <c r="C18" s="2">
        <f>Financial_Ratios!C6/100</f>
        <v>1.6459999999999999</v>
      </c>
      <c r="D18" s="2">
        <f>Financial_Ratios!D6/100</f>
        <v>1.5190000000000001</v>
      </c>
      <c r="E18" s="2">
        <f>D18-B18</f>
        <v>-4.1999999999999815E-2</v>
      </c>
    </row>
    <row r="19" spans="1:5" ht="18.75" x14ac:dyDescent="0.3">
      <c r="A19" s="11" t="s">
        <v>73</v>
      </c>
      <c r="B19">
        <f>Financial_Ratios!B9</f>
        <v>1.0900000000000001</v>
      </c>
      <c r="C19">
        <f>Financial_Ratios!C9</f>
        <v>1.07</v>
      </c>
      <c r="D19">
        <f>Financial_Ratios!D9</f>
        <v>1.1599999999999999</v>
      </c>
      <c r="E19" s="2">
        <f>D19-B19</f>
        <v>6.999999999999984E-2</v>
      </c>
    </row>
    <row r="20" spans="1:5" ht="18.75" x14ac:dyDescent="0.3">
      <c r="A20" s="11" t="s">
        <v>74</v>
      </c>
      <c r="B20">
        <f>Financial_Ratios!B10</f>
        <v>33.799999999999997</v>
      </c>
      <c r="C20">
        <f>Financial_Ratios!C10</f>
        <v>32.299999999999997</v>
      </c>
      <c r="D20">
        <f>Financial_Ratios!D10</f>
        <v>30.3</v>
      </c>
      <c r="E20" s="2">
        <f>D20-B20</f>
        <v>-3.4999999999999964</v>
      </c>
    </row>
    <row r="21" spans="1:5" ht="18.75" x14ac:dyDescent="0.3">
      <c r="A21" s="11" t="s">
        <v>113</v>
      </c>
      <c r="C21">
        <f>C14/B14-1</f>
        <v>0</v>
      </c>
      <c r="D21" s="2">
        <f>D14/C14-1</f>
        <v>0.21103896103896091</v>
      </c>
      <c r="E21" s="2">
        <f>AVERAGE(C21:D21)</f>
        <v>0.10551948051948046</v>
      </c>
    </row>
    <row r="22" spans="1:5" ht="18.75" x14ac:dyDescent="0.3">
      <c r="A22" s="11" t="s">
        <v>114</v>
      </c>
      <c r="B22" s="3">
        <f>Income_Statement!B15</f>
        <v>15812</v>
      </c>
      <c r="C22" s="3">
        <f>Income_Statement!C15</f>
        <v>15204</v>
      </c>
      <c r="D22" s="3">
        <f>Income_Statement!D15</f>
        <v>14998</v>
      </c>
      <c r="E22" s="2">
        <f>(D22/B22)^(1/2)-1</f>
        <v>-2.6080028283705703E-2</v>
      </c>
    </row>
    <row r="23" spans="1:5" ht="18.75" x14ac:dyDescent="0.3">
      <c r="A23" s="11" t="s">
        <v>115</v>
      </c>
      <c r="C23" s="2">
        <f>C22/B22-1</f>
        <v>-3.8451808752845928E-2</v>
      </c>
      <c r="D23" s="2">
        <f>D22/C22-1</f>
        <v>-1.3549066035253854E-2</v>
      </c>
      <c r="E23" s="2">
        <f>D22/B22-1</f>
        <v>-5.1479888692132603E-2</v>
      </c>
    </row>
    <row r="25" spans="1:5" ht="18.75" x14ac:dyDescent="0.3">
      <c r="A25" s="13" t="s">
        <v>116</v>
      </c>
    </row>
    <row r="26" spans="1:5" ht="18.75" x14ac:dyDescent="0.3">
      <c r="A26" s="11" t="s">
        <v>71</v>
      </c>
      <c r="B26" s="2">
        <f>Financial_Ratios!B7</f>
        <v>0.99</v>
      </c>
      <c r="C26" s="2">
        <f>Financial_Ratios!C7</f>
        <v>0.87</v>
      </c>
      <c r="D26" s="2">
        <f>Financial_Ratios!D7</f>
        <v>0.89</v>
      </c>
      <c r="E26" s="2">
        <f>D26-B26</f>
        <v>-9.9999999999999978E-2</v>
      </c>
    </row>
    <row r="27" spans="1:5" ht="18.75" x14ac:dyDescent="0.3">
      <c r="A27" s="11" t="s">
        <v>117</v>
      </c>
      <c r="B27">
        <f>Financial_Ratios!B8</f>
        <v>1.81</v>
      </c>
      <c r="C27">
        <f>Financial_Ratios!C8</f>
        <v>1.89</v>
      </c>
      <c r="D27">
        <f>Financial_Ratios!D8</f>
        <v>1.35</v>
      </c>
      <c r="E27" s="2">
        <f>D27-B27</f>
        <v>-0.45999999999999996</v>
      </c>
    </row>
    <row r="28" spans="1:5" ht="18.75" x14ac:dyDescent="0.3">
      <c r="A28" s="11" t="s">
        <v>118</v>
      </c>
      <c r="B28" s="3">
        <f>Balance_Sheet!B16+Balance_Sheet!B19</f>
        <v>105103</v>
      </c>
      <c r="C28" s="3">
        <f>Balance_Sheet!C16+Balance_Sheet!C19</f>
        <v>95572</v>
      </c>
      <c r="D28" s="3">
        <f>Balance_Sheet!D16+Balance_Sheet!D19</f>
        <v>86656</v>
      </c>
      <c r="E28" s="2">
        <f>(D28/B28)^(1/2)-1</f>
        <v>-9.1987634366678006E-2</v>
      </c>
    </row>
    <row r="29" spans="1:5" ht="18.75" x14ac:dyDescent="0.3">
      <c r="A29" s="11" t="s">
        <v>119</v>
      </c>
      <c r="B29" s="3">
        <f>Balance_Sheet!B2+Balance_Sheet!B3</f>
        <v>61555</v>
      </c>
      <c r="C29" s="3">
        <f>Balance_Sheet!C2+Balance_Sheet!C3</f>
        <v>65171</v>
      </c>
      <c r="D29" s="3">
        <f>Balance_Sheet!D2+Balance_Sheet!D3</f>
        <v>74084</v>
      </c>
      <c r="E29" s="2">
        <f>(D29/B29)^(1/2)-1</f>
        <v>9.706041228772766E-2</v>
      </c>
    </row>
    <row r="30" spans="1:5" ht="18.75" x14ac:dyDescent="0.3">
      <c r="A30" s="11" t="s">
        <v>120</v>
      </c>
      <c r="B30" s="3">
        <f>B28-B29</f>
        <v>43548</v>
      </c>
      <c r="C30" s="3">
        <f t="shared" ref="C30:D30" si="0">C28-C29</f>
        <v>30401</v>
      </c>
      <c r="D30" s="3">
        <f t="shared" si="0"/>
        <v>12572</v>
      </c>
      <c r="E30" s="2">
        <f>(D30/B30)^(1/2)-1</f>
        <v>-0.46269846777642054</v>
      </c>
    </row>
    <row r="31" spans="1:5" ht="18.75" x14ac:dyDescent="0.3">
      <c r="A31" s="11" t="s">
        <v>121</v>
      </c>
      <c r="B31" s="3">
        <f>Balance_Sheet!B14</f>
        <v>352583</v>
      </c>
      <c r="C31" s="3">
        <f>Balance_Sheet!C14</f>
        <v>364980</v>
      </c>
      <c r="D31" s="3">
        <f>Balance_Sheet!D14</f>
        <v>359241</v>
      </c>
      <c r="E31" s="2">
        <f>(D31/B31)^(1/2)-1</f>
        <v>9.3975911084163144E-3</v>
      </c>
    </row>
    <row r="32" spans="1:5" ht="18.75" x14ac:dyDescent="0.3">
      <c r="A32" s="11" t="s">
        <v>122</v>
      </c>
      <c r="B32" s="3">
        <f>Balance_Sheet!B23</f>
        <v>290437</v>
      </c>
      <c r="C32" s="3">
        <f>Balance_Sheet!C23</f>
        <v>308030</v>
      </c>
      <c r="D32" s="3">
        <f>Balance_Sheet!D23</f>
        <v>285508</v>
      </c>
      <c r="E32" s="2">
        <f>(D32/B32)^(1/2)-1</f>
        <v>-8.5217996423649911E-3</v>
      </c>
    </row>
    <row r="33" spans="1:5" ht="18.75" x14ac:dyDescent="0.3">
      <c r="A33" s="11" t="s">
        <v>123</v>
      </c>
      <c r="B33" s="3">
        <f>Balance_Sheet!B24+Balance_Sheet!B25</f>
        <v>73598</v>
      </c>
      <c r="C33" s="3">
        <f>Balance_Sheet!C24+Balance_Sheet!C25</f>
        <v>56846</v>
      </c>
      <c r="D33" s="3">
        <f>Balance_Sheet!D24+Balance_Sheet!D25</f>
        <v>88233</v>
      </c>
      <c r="E33" s="2">
        <f>(D33/B33)^(1/2)-1</f>
        <v>9.4920322325867001E-2</v>
      </c>
    </row>
    <row r="35" spans="1:5" ht="18.75" x14ac:dyDescent="0.3">
      <c r="A35" s="13" t="s">
        <v>124</v>
      </c>
    </row>
    <row r="36" spans="1:5" ht="18.75" x14ac:dyDescent="0.3">
      <c r="A36" s="11" t="s">
        <v>125</v>
      </c>
      <c r="B36" s="3">
        <f>Cash_Flow!B8</f>
        <v>110543</v>
      </c>
      <c r="C36" s="3">
        <f>Cash_Flow!C8</f>
        <v>118254</v>
      </c>
      <c r="D36" s="3">
        <f>Cash_Flow!D8</f>
        <v>111482</v>
      </c>
      <c r="E36" s="2">
        <f>(D36/B36)^(1/2)-1</f>
        <v>4.2382346988061315E-3</v>
      </c>
    </row>
    <row r="37" spans="1:5" ht="18.75" x14ac:dyDescent="0.3">
      <c r="A37" s="11" t="s">
        <v>126</v>
      </c>
      <c r="B37" s="3">
        <f>-Cash_Flow!B9</f>
        <v>10959</v>
      </c>
      <c r="C37" s="3">
        <f>-Cash_Flow!C9</f>
        <v>9447</v>
      </c>
      <c r="D37" s="3">
        <f>-Cash_Flow!D9</f>
        <v>10657</v>
      </c>
      <c r="E37" s="2">
        <f>(D37/B37)^(1/2)-1</f>
        <v>-1.3874885663074155E-2</v>
      </c>
    </row>
    <row r="38" spans="1:5" ht="18.75" x14ac:dyDescent="0.3">
      <c r="A38" s="11" t="s">
        <v>127</v>
      </c>
      <c r="B38" s="3">
        <f>Cash_Flow!B22</f>
        <v>99584</v>
      </c>
      <c r="C38" s="3">
        <f>Cash_Flow!C22</f>
        <v>108807</v>
      </c>
      <c r="D38" s="3">
        <f>Cash_Flow!D22</f>
        <v>98767</v>
      </c>
      <c r="E38" s="2">
        <f>Cash_Flow!E22</f>
        <v>0</v>
      </c>
    </row>
    <row r="39" spans="1:5" ht="18.75" x14ac:dyDescent="0.3">
      <c r="A39" s="11" t="s">
        <v>128</v>
      </c>
      <c r="B39" s="2">
        <f>B38/B6</f>
        <v>0.25981710737440805</v>
      </c>
      <c r="C39" s="2">
        <f t="shared" ref="C39:D39" si="1">C38/C6</f>
        <v>0.27825386474356517</v>
      </c>
      <c r="D39" s="2">
        <f t="shared" si="1"/>
        <v>0.23732882225869315</v>
      </c>
      <c r="E39" s="2">
        <f>D39-B39</f>
        <v>-2.2488285115714907E-2</v>
      </c>
    </row>
    <row r="40" spans="1:5" ht="18.75" x14ac:dyDescent="0.3">
      <c r="A40" s="11" t="s">
        <v>129</v>
      </c>
      <c r="B40" s="2">
        <f>B38/B12</f>
        <v>1.0266920975308005</v>
      </c>
      <c r="C40" s="2">
        <f t="shared" ref="C40:D40" si="2">C38/C12</f>
        <v>1.1607813433472731</v>
      </c>
      <c r="D40" s="2">
        <f t="shared" si="2"/>
        <v>0.88176948486742257</v>
      </c>
      <c r="E40" s="2">
        <f>D40-B40</f>
        <v>-0.14492261266337791</v>
      </c>
    </row>
    <row r="41" spans="1:5" ht="18.75" x14ac:dyDescent="0.3">
      <c r="A41" s="11" t="s">
        <v>130</v>
      </c>
      <c r="B41" s="3">
        <f>-Cash_Flow!B19</f>
        <v>6012</v>
      </c>
      <c r="C41" s="3">
        <f>-Cash_Flow!C19</f>
        <v>5802</v>
      </c>
      <c r="D41" s="3">
        <f>-Cash_Flow!D19</f>
        <v>6071</v>
      </c>
      <c r="E41" s="2">
        <f>(D41/B41)^(1/2)-1</f>
        <v>4.8948730695617115E-3</v>
      </c>
    </row>
    <row r="42" spans="1:5" ht="18.75" x14ac:dyDescent="0.3">
      <c r="A42" s="11" t="s">
        <v>131</v>
      </c>
      <c r="B42" s="3">
        <f>-Cash_Flow!B18</f>
        <v>15025</v>
      </c>
      <c r="C42" s="3">
        <f>-Cash_Flow!C18</f>
        <v>15234</v>
      </c>
      <c r="D42" s="3">
        <f>-Cash_Flow!D18</f>
        <v>15421</v>
      </c>
      <c r="E42" s="2">
        <f>(D42/B42)^(1/2)-1</f>
        <v>1.3092332026708453E-2</v>
      </c>
    </row>
    <row r="43" spans="1:5" ht="18.75" x14ac:dyDescent="0.3">
      <c r="A43" s="11" t="s">
        <v>132</v>
      </c>
      <c r="B43" s="3">
        <f>Cash_Flow!B21</f>
        <v>5760</v>
      </c>
      <c r="C43" s="3">
        <f>Cash_Flow!C21</f>
        <v>-794</v>
      </c>
      <c r="D43" s="3">
        <f>Cash_Flow!D21</f>
        <v>5991</v>
      </c>
      <c r="E43" s="2">
        <f>(D43/B43)^(1/2)-1</f>
        <v>1.9854973349969329E-2</v>
      </c>
    </row>
    <row r="44" spans="1:5" ht="18.75" x14ac:dyDescent="0.3">
      <c r="A44" s="11"/>
    </row>
    <row r="45" spans="1:5" ht="18.75" x14ac:dyDescent="0.3">
      <c r="A45" s="13" t="s">
        <v>133</v>
      </c>
    </row>
    <row r="46" spans="1:5" ht="18.75" x14ac:dyDescent="0.3">
      <c r="A46" s="11" t="s">
        <v>134</v>
      </c>
      <c r="B46" s="3">
        <f>Stock_Market_Data!B2</f>
        <v>171.21</v>
      </c>
      <c r="C46" s="3">
        <f>Stock_Market_Data!C2</f>
        <v>226.5</v>
      </c>
      <c r="D46" s="3">
        <f>Stock_Market_Data!D2</f>
        <v>273.85000000000002</v>
      </c>
      <c r="E46" s="2">
        <f>(D46/B46)^(1/2)-1</f>
        <v>0.26471249416291065</v>
      </c>
    </row>
    <row r="47" spans="1:5" ht="18.75" x14ac:dyDescent="0.3">
      <c r="A47" s="11" t="s">
        <v>135</v>
      </c>
      <c r="B47" s="3">
        <f>Stock_Market_Data!B5</f>
        <v>2720</v>
      </c>
      <c r="C47" s="3">
        <f>Stock_Market_Data!C5</f>
        <v>3440</v>
      </c>
      <c r="D47" s="3">
        <f>Stock_Market_Data!D5</f>
        <v>4107</v>
      </c>
      <c r="E47" s="2">
        <f>(D47/B47)^(1/2)-1</f>
        <v>0.22879065368688223</v>
      </c>
    </row>
    <row r="48" spans="1:5" ht="18.75" x14ac:dyDescent="0.3">
      <c r="A48" s="11" t="s">
        <v>136</v>
      </c>
      <c r="B48">
        <f>Financial_Ratios!B11</f>
        <v>28.5</v>
      </c>
      <c r="C48">
        <f>Financial_Ratios!C11</f>
        <v>29.2</v>
      </c>
      <c r="D48">
        <f>Financial_Ratios!D11</f>
        <v>36.5</v>
      </c>
      <c r="E48" s="2">
        <f>D48-B48</f>
        <v>8</v>
      </c>
    </row>
    <row r="49" spans="1:5" ht="18.75" x14ac:dyDescent="0.3">
      <c r="A49" s="11" t="s">
        <v>137</v>
      </c>
      <c r="B49" s="3">
        <f>Financial_Ratios!B12</f>
        <v>2850</v>
      </c>
      <c r="C49" s="3">
        <f>Financial_Ratios!C12</f>
        <v>2920</v>
      </c>
      <c r="D49" s="3">
        <f>Financial_Ratios!D12</f>
        <v>3150</v>
      </c>
      <c r="E49" s="2">
        <f>(D49/B49)^(1/2)-1</f>
        <v>5.1314966075693746E-2</v>
      </c>
    </row>
    <row r="50" spans="1:5" ht="18.75" x14ac:dyDescent="0.3">
      <c r="A50" s="11" t="s">
        <v>77</v>
      </c>
      <c r="B50">
        <f>Financial_Ratios!B13</f>
        <v>23.8</v>
      </c>
      <c r="C50">
        <f>Financial_Ratios!C13</f>
        <v>24.5</v>
      </c>
      <c r="D50">
        <f>Financial_Ratios!D13</f>
        <v>26.2</v>
      </c>
      <c r="E50" s="2">
        <f>D50-B50</f>
        <v>2.3999999999999986</v>
      </c>
    </row>
    <row r="51" spans="1:5" ht="18.75" x14ac:dyDescent="0.3">
      <c r="A51" s="11" t="s">
        <v>78</v>
      </c>
      <c r="B51">
        <f>Financial_Ratios!B14</f>
        <v>28.6</v>
      </c>
      <c r="C51">
        <f>Financial_Ratios!C14</f>
        <v>26.8</v>
      </c>
      <c r="D51">
        <f>Financial_Ratios!D14</f>
        <v>31.8</v>
      </c>
      <c r="E51" s="2">
        <f>D51-B51</f>
        <v>3.1999999999999993</v>
      </c>
    </row>
    <row r="52" spans="1:5" ht="18.75" x14ac:dyDescent="0.3">
      <c r="A52" s="11" t="s">
        <v>84</v>
      </c>
      <c r="B52" s="3">
        <f>Stock_Market_Data!B7</f>
        <v>0.96</v>
      </c>
      <c r="C52" s="3">
        <f>Stock_Market_Data!C7</f>
        <v>1</v>
      </c>
      <c r="D52" s="3">
        <f>Stock_Market_Data!D7</f>
        <v>1.03</v>
      </c>
      <c r="E52" s="2">
        <f>(D52/B52)^(1/2)-1</f>
        <v>3.5816907888004401E-2</v>
      </c>
    </row>
    <row r="53" spans="1:5" ht="18.75" x14ac:dyDescent="0.3">
      <c r="A53" s="11" t="s">
        <v>85</v>
      </c>
      <c r="B53" s="2">
        <f>Stock_Market_Data!B8/100</f>
        <v>5.6000000000000008E-3</v>
      </c>
      <c r="C53" s="2">
        <f>Stock_Market_Data!C8/100</f>
        <v>4.4000000000000003E-3</v>
      </c>
      <c r="D53" s="2">
        <f>Stock_Market_Data!D8/100</f>
        <v>3.8E-3</v>
      </c>
      <c r="E53" s="2">
        <f>D53-B53</f>
        <v>-1.8000000000000008E-3</v>
      </c>
    </row>
    <row r="54" spans="1:5" ht="18.75" x14ac:dyDescent="0.3">
      <c r="A54" s="11" t="s">
        <v>86</v>
      </c>
      <c r="B54">
        <f>Stock_Market_Data!B9</f>
        <v>1.28</v>
      </c>
      <c r="C54">
        <f>Stock_Market_Data!C9</f>
        <v>1.24</v>
      </c>
      <c r="D54">
        <f>Stock_Market_Data!D9</f>
        <v>1.2</v>
      </c>
      <c r="E54" s="2">
        <f>D54-B54</f>
        <v>-8.0000000000000071E-2</v>
      </c>
    </row>
    <row r="56" spans="1:5" ht="18.75" x14ac:dyDescent="0.3">
      <c r="A56" s="13" t="s">
        <v>138</v>
      </c>
    </row>
    <row r="57" spans="1:5" ht="18.75" x14ac:dyDescent="0.3">
      <c r="A57" s="11" t="s">
        <v>139</v>
      </c>
      <c r="B57" s="7">
        <f>E6</f>
        <v>4.2004939182371137E-2</v>
      </c>
    </row>
    <row r="58" spans="1:5" ht="18.75" x14ac:dyDescent="0.3">
      <c r="A58" s="11" t="s">
        <v>140</v>
      </c>
      <c r="B58" s="7">
        <f>E12</f>
        <v>7.4617045233744017E-2</v>
      </c>
    </row>
    <row r="59" spans="1:5" ht="18.75" x14ac:dyDescent="0.3">
      <c r="A59" s="11" t="s">
        <v>141</v>
      </c>
      <c r="B59" s="7">
        <f>D9</f>
        <v>0.46899999999999997</v>
      </c>
    </row>
    <row r="60" spans="1:5" ht="18.75" x14ac:dyDescent="0.3">
      <c r="A60" s="11" t="s">
        <v>142</v>
      </c>
      <c r="B60" s="7">
        <f>D11</f>
        <v>0.32600000000000001</v>
      </c>
    </row>
    <row r="61" spans="1:5" ht="18.75" x14ac:dyDescent="0.3">
      <c r="A61" s="11" t="s">
        <v>143</v>
      </c>
      <c r="B61" s="7">
        <f>D39</f>
        <v>0.23732882225869315</v>
      </c>
    </row>
    <row r="62" spans="1:5" ht="18.75" x14ac:dyDescent="0.3">
      <c r="A62" s="11" t="s">
        <v>144</v>
      </c>
      <c r="B62" s="8">
        <f>D30</f>
        <v>12572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3" sqref="A3"/>
    </sheetView>
  </sheetViews>
  <sheetFormatPr defaultRowHeight="15" x14ac:dyDescent="0.25"/>
  <cols>
    <col min="1" max="1" width="39.42578125" bestFit="1" customWidth="1"/>
    <col min="2" max="2" width="14" bestFit="1" customWidth="1"/>
    <col min="3" max="3" width="18.7109375" bestFit="1" customWidth="1"/>
    <col min="4" max="5" width="19.7109375" bestFit="1" customWidth="1"/>
  </cols>
  <sheetData>
    <row r="1" spans="1:5" ht="31.5" x14ac:dyDescent="0.5">
      <c r="A1" s="17" t="s">
        <v>145</v>
      </c>
      <c r="B1" s="17"/>
      <c r="C1" s="17"/>
      <c r="D1" s="17"/>
      <c r="E1" s="17"/>
    </row>
    <row r="2" spans="1:5" ht="18.75" x14ac:dyDescent="0.3">
      <c r="A2" s="15" t="s">
        <v>146</v>
      </c>
      <c r="B2" s="15"/>
      <c r="C2" s="15"/>
      <c r="D2" s="15"/>
      <c r="E2" s="15"/>
    </row>
    <row r="3" spans="1:5" ht="21" x14ac:dyDescent="0.35">
      <c r="A3" s="12" t="s">
        <v>0</v>
      </c>
      <c r="B3" s="12" t="s">
        <v>147</v>
      </c>
      <c r="C3" s="12" t="s">
        <v>148</v>
      </c>
      <c r="D3" s="12" t="s">
        <v>149</v>
      </c>
      <c r="E3" s="12" t="s">
        <v>150</v>
      </c>
    </row>
    <row r="5" spans="1:5" ht="21" x14ac:dyDescent="0.35">
      <c r="A5" s="12" t="s">
        <v>151</v>
      </c>
    </row>
    <row r="6" spans="1:5" x14ac:dyDescent="0.25">
      <c r="A6" t="s">
        <v>106</v>
      </c>
      <c r="B6" s="5">
        <f>0</f>
        <v>0</v>
      </c>
      <c r="C6" s="5">
        <f>Model_Assumptions!C2</f>
        <v>5</v>
      </c>
      <c r="D6" s="5">
        <f>Model_Assumptions!D2</f>
        <v>4.5</v>
      </c>
      <c r="E6" s="5">
        <f>Model_Assumptions!E2</f>
        <v>4</v>
      </c>
    </row>
    <row r="7" spans="1:5" x14ac:dyDescent="0.25">
      <c r="A7" t="s">
        <v>105</v>
      </c>
      <c r="B7" s="3">
        <f>Income_Statement!D2</f>
        <v>416161</v>
      </c>
      <c r="C7" s="3">
        <f>B7*(1+C6)</f>
        <v>2496966</v>
      </c>
      <c r="D7" s="3">
        <f>C7*(1+D6)</f>
        <v>13733313</v>
      </c>
      <c r="E7" s="3">
        <f>D7*(1+E6)</f>
        <v>68666565</v>
      </c>
    </row>
    <row r="9" spans="1:5" ht="21" x14ac:dyDescent="0.35">
      <c r="A9" s="12" t="s">
        <v>152</v>
      </c>
    </row>
    <row r="10" spans="1:5" x14ac:dyDescent="0.25">
      <c r="A10" t="s">
        <v>66</v>
      </c>
      <c r="B10" s="5">
        <f>Income_Statement!D4/Income_Statement!D2</f>
        <v>0.46905164107160452</v>
      </c>
      <c r="C10" s="5">
        <f>Model_Assumptions!C3</f>
        <v>47</v>
      </c>
      <c r="D10">
        <f>Model_Assumptions!D3</f>
        <v>47.5</v>
      </c>
      <c r="E10">
        <f>Model_Assumptions!E3</f>
        <v>48</v>
      </c>
    </row>
    <row r="11" spans="1:5" x14ac:dyDescent="0.25">
      <c r="A11" t="s">
        <v>107</v>
      </c>
      <c r="B11" s="3">
        <f>Income_Statement!D4</f>
        <v>195201</v>
      </c>
      <c r="C11" s="3">
        <f>C7*C10</f>
        <v>117357402</v>
      </c>
      <c r="D11" s="3">
        <f>D7*D10</f>
        <v>652332367.5</v>
      </c>
      <c r="E11" s="3">
        <f>E7*E10</f>
        <v>3295995120</v>
      </c>
    </row>
    <row r="12" spans="1:5" x14ac:dyDescent="0.25">
      <c r="A12" t="s">
        <v>153</v>
      </c>
      <c r="B12" s="3">
        <f>B7-B11</f>
        <v>220960</v>
      </c>
      <c r="C12" s="3">
        <f>C7-C11</f>
        <v>-114860436</v>
      </c>
      <c r="D12" s="3">
        <f>D7-D11</f>
        <v>-638599054.5</v>
      </c>
      <c r="E12" s="3">
        <f>E7-E11</f>
        <v>-3227328555</v>
      </c>
    </row>
    <row r="14" spans="1:5" ht="21" x14ac:dyDescent="0.35">
      <c r="A14" s="12" t="s">
        <v>154</v>
      </c>
    </row>
    <row r="15" spans="1:5" ht="18.75" x14ac:dyDescent="0.3">
      <c r="A15" s="11" t="s">
        <v>155</v>
      </c>
      <c r="B15" s="5">
        <f>Income_Statement!D5/Income_Statement!D2</f>
        <v>7.7099968521798054E-2</v>
      </c>
      <c r="C15" s="5">
        <f>Model_Assumptions!C4</f>
        <v>7.8</v>
      </c>
      <c r="D15">
        <f>Model_Assumptions!D4</f>
        <v>7.7</v>
      </c>
      <c r="E15">
        <f>Model_Assumptions!E4</f>
        <v>7.6</v>
      </c>
    </row>
    <row r="16" spans="1:5" ht="18.75" x14ac:dyDescent="0.3">
      <c r="A16" s="11" t="s">
        <v>156</v>
      </c>
      <c r="B16" s="3">
        <f>Income_Statement!D5</f>
        <v>32086</v>
      </c>
      <c r="C16" s="3">
        <f>C7*C15</f>
        <v>19476334.800000001</v>
      </c>
      <c r="D16" s="3">
        <f>D7*D15</f>
        <v>105746510.10000001</v>
      </c>
      <c r="E16" s="3">
        <f>E7*E15</f>
        <v>521865894</v>
      </c>
    </row>
    <row r="18" spans="1:5" ht="18.75" x14ac:dyDescent="0.3">
      <c r="A18" s="11" t="s">
        <v>157</v>
      </c>
      <c r="B18">
        <f>Income_Statement!D6/Income_Statement!D2</f>
        <v>6.5652475844685115E-2</v>
      </c>
      <c r="C18">
        <f>Model_Assumptions!C5</f>
        <v>6.5</v>
      </c>
      <c r="D18">
        <f>Model_Assumptions!D5</f>
        <v>6.4</v>
      </c>
      <c r="E18">
        <f>Model_Assumptions!E5</f>
        <v>6.3</v>
      </c>
    </row>
    <row r="19" spans="1:5" ht="18.75" x14ac:dyDescent="0.3">
      <c r="A19" s="11" t="s">
        <v>158</v>
      </c>
      <c r="B19" s="3">
        <f>Income_Statement!D6</f>
        <v>27322</v>
      </c>
      <c r="C19" s="3">
        <f>C7*C18</f>
        <v>16230279</v>
      </c>
      <c r="D19" s="3">
        <f>D7*D18</f>
        <v>87893203.200000003</v>
      </c>
      <c r="E19" s="3">
        <f>E7*E18</f>
        <v>432599359.5</v>
      </c>
    </row>
    <row r="21" spans="1:5" ht="21" x14ac:dyDescent="0.35">
      <c r="A21" s="12" t="s">
        <v>159</v>
      </c>
    </row>
    <row r="22" spans="1:5" ht="18.75" x14ac:dyDescent="0.3">
      <c r="A22" s="11" t="s">
        <v>160</v>
      </c>
      <c r="B22" s="3">
        <f>B16+B19</f>
        <v>59408</v>
      </c>
      <c r="C22" s="3">
        <f>C16+C19</f>
        <v>35706613.799999997</v>
      </c>
      <c r="D22" s="3">
        <f>C16+C19</f>
        <v>35706613.799999997</v>
      </c>
      <c r="E22" s="3">
        <f>E16+E19</f>
        <v>954465253.5</v>
      </c>
    </row>
    <row r="23" spans="1:5" ht="18.75" x14ac:dyDescent="0.3">
      <c r="A23" s="11" t="s">
        <v>108</v>
      </c>
      <c r="B23" s="3">
        <f>B11-B22</f>
        <v>135793</v>
      </c>
      <c r="C23" s="3">
        <f t="shared" ref="C23:E23" si="0">C11-C22</f>
        <v>81650788.200000003</v>
      </c>
      <c r="D23" s="3">
        <f t="shared" si="0"/>
        <v>616625753.70000005</v>
      </c>
      <c r="E23" s="3">
        <f t="shared" si="0"/>
        <v>2341529866.5</v>
      </c>
    </row>
    <row r="24" spans="1:5" ht="18.75" x14ac:dyDescent="0.3">
      <c r="A24" s="11" t="s">
        <v>67</v>
      </c>
      <c r="B24">
        <f>B23/B7</f>
        <v>0.32629919670512131</v>
      </c>
      <c r="C24">
        <f t="shared" ref="C24:E24" si="1">C23/C7</f>
        <v>32.700000000000003</v>
      </c>
      <c r="D24">
        <f t="shared" si="1"/>
        <v>44.900000000000006</v>
      </c>
      <c r="E24">
        <f t="shared" si="1"/>
        <v>34.1</v>
      </c>
    </row>
    <row r="26" spans="1:5" ht="21" x14ac:dyDescent="0.35">
      <c r="A26" s="12" t="s">
        <v>161</v>
      </c>
    </row>
    <row r="27" spans="1:5" ht="18.75" x14ac:dyDescent="0.3">
      <c r="A27" s="11" t="s">
        <v>162</v>
      </c>
      <c r="B27" s="3">
        <f>Income_Statement!D9</f>
        <v>3933</v>
      </c>
      <c r="C27" s="3">
        <f>B27</f>
        <v>3933</v>
      </c>
      <c r="D27" s="3">
        <f>C27</f>
        <v>3933</v>
      </c>
      <c r="E27" s="3">
        <f>D27</f>
        <v>3933</v>
      </c>
    </row>
    <row r="28" spans="1:5" ht="18.75" x14ac:dyDescent="0.3">
      <c r="A28" s="11" t="s">
        <v>163</v>
      </c>
      <c r="B28" s="3">
        <f>Income_Statement!D10</f>
        <v>3750</v>
      </c>
      <c r="C28" s="3">
        <f>B28</f>
        <v>3750</v>
      </c>
      <c r="D28" s="3">
        <f>C28</f>
        <v>3750</v>
      </c>
      <c r="E28" s="3">
        <f>D28</f>
        <v>3750</v>
      </c>
    </row>
    <row r="29" spans="1:5" ht="18.75" x14ac:dyDescent="0.3">
      <c r="A29" s="11" t="s">
        <v>164</v>
      </c>
      <c r="B29" s="3">
        <f>B23-B27+B28</f>
        <v>135610</v>
      </c>
      <c r="C29" s="3">
        <f>C23-C27+C28</f>
        <v>81650605.200000003</v>
      </c>
      <c r="D29" s="3">
        <f>D23-D27+D28</f>
        <v>616625570.70000005</v>
      </c>
      <c r="E29" s="3">
        <f>E23-E27+E28</f>
        <v>2341529683.5</v>
      </c>
    </row>
    <row r="31" spans="1:5" ht="21" x14ac:dyDescent="0.35">
      <c r="A31" s="12" t="s">
        <v>165</v>
      </c>
    </row>
    <row r="32" spans="1:5" ht="18.75" x14ac:dyDescent="0.3">
      <c r="A32" s="11" t="s">
        <v>95</v>
      </c>
      <c r="B32">
        <f>Income_Statement!D13/Income_Statement!D12</f>
        <v>0.18037465242206938</v>
      </c>
      <c r="C32">
        <f>Model_Assumptions!C6</f>
        <v>18</v>
      </c>
      <c r="D32">
        <f>Model_Assumptions!D6</f>
        <v>18</v>
      </c>
      <c r="E32">
        <f>Model_Assumptions!E6</f>
        <v>18</v>
      </c>
    </row>
    <row r="33" spans="1:5" ht="18.75" x14ac:dyDescent="0.3">
      <c r="A33" s="11" t="s">
        <v>166</v>
      </c>
      <c r="B33" s="3">
        <f>Income_Statement!D13</f>
        <v>24650</v>
      </c>
      <c r="C33" s="3">
        <f>C29*C32</f>
        <v>1469710893.6000001</v>
      </c>
      <c r="D33" s="3">
        <f>D29*D32</f>
        <v>11099260272.6</v>
      </c>
      <c r="E33" s="3">
        <f>E29*E32</f>
        <v>42147534303</v>
      </c>
    </row>
    <row r="34" spans="1:5" ht="18.75" x14ac:dyDescent="0.3">
      <c r="A34" s="11" t="s">
        <v>109</v>
      </c>
      <c r="B34" s="3">
        <f>Income_Statement!D14</f>
        <v>112010</v>
      </c>
      <c r="C34" s="3">
        <f>C29-C33</f>
        <v>-1388060288.4000001</v>
      </c>
      <c r="D34" s="3">
        <f>D29-D33</f>
        <v>-10482634701.9</v>
      </c>
      <c r="E34" s="3">
        <f>E29-E33</f>
        <v>-39806004619.5</v>
      </c>
    </row>
    <row r="35" spans="1:5" ht="18.75" x14ac:dyDescent="0.3">
      <c r="A35" s="11" t="s">
        <v>68</v>
      </c>
      <c r="B35" s="5">
        <f>B34/B7</f>
        <v>0.26915064121818238</v>
      </c>
      <c r="C35" s="5">
        <f t="shared" ref="C35:E35" si="2">C34/C7</f>
        <v>-555.89875408796115</v>
      </c>
      <c r="D35" s="5">
        <f t="shared" si="2"/>
        <v>-763.29977347053841</v>
      </c>
      <c r="E35" s="5">
        <f t="shared" si="2"/>
        <v>-579.69995469410765</v>
      </c>
    </row>
    <row r="37" spans="1:5" ht="21" x14ac:dyDescent="0.35">
      <c r="A37" s="12" t="s">
        <v>167</v>
      </c>
    </row>
    <row r="38" spans="1:5" ht="18.75" x14ac:dyDescent="0.3">
      <c r="A38" s="11" t="s">
        <v>109</v>
      </c>
      <c r="B38" s="3">
        <f>B34</f>
        <v>112010</v>
      </c>
      <c r="C38" s="3">
        <f t="shared" ref="C38:E38" si="3">C34</f>
        <v>-1388060288.4000001</v>
      </c>
      <c r="D38" s="3">
        <f t="shared" si="3"/>
        <v>-10482634701.9</v>
      </c>
      <c r="E38" s="3">
        <f t="shared" si="3"/>
        <v>-39806004619.5</v>
      </c>
    </row>
    <row r="39" spans="1:5" ht="18.75" x14ac:dyDescent="0.3">
      <c r="A39" s="11" t="s">
        <v>168</v>
      </c>
      <c r="B39" s="3">
        <f>Cash_Flow!D3</f>
        <v>11619</v>
      </c>
      <c r="C39" s="3">
        <f>C7*Model_Assumptions!C8</f>
        <v>6991504.7999999998</v>
      </c>
      <c r="D39" s="3">
        <f>D7*Model_Assumptions!D8</f>
        <v>38453276.399999999</v>
      </c>
      <c r="E39" s="3">
        <f>E7*Model_Assumptions!E8</f>
        <v>192266382</v>
      </c>
    </row>
    <row r="40" spans="1:5" ht="18.75" x14ac:dyDescent="0.3">
      <c r="A40" s="11" t="s">
        <v>169</v>
      </c>
      <c r="B40" s="3">
        <f>Cash_Flow!D6</f>
        <v>-5369</v>
      </c>
      <c r="C40" s="3">
        <f>C7*Model_Assumptions!C9</f>
        <v>8739381</v>
      </c>
      <c r="D40" s="3">
        <f>D7*Model_Assumptions!D9</f>
        <v>48066595.5</v>
      </c>
      <c r="E40" s="3">
        <f>E7*Model_Assumptions!E9</f>
        <v>240332977.5</v>
      </c>
    </row>
    <row r="41" spans="1:5" ht="18.75" x14ac:dyDescent="0.3">
      <c r="A41" s="11" t="s">
        <v>125</v>
      </c>
      <c r="B41" s="3">
        <f>B38+B39-B40</f>
        <v>128998</v>
      </c>
      <c r="C41" s="3">
        <f>C38+C39-C40</f>
        <v>-1389808164.6000001</v>
      </c>
      <c r="D41" s="3">
        <f>D38+D39-D40</f>
        <v>-10492248021</v>
      </c>
      <c r="E41" s="3">
        <f>E38+E39-E40</f>
        <v>-39854071215</v>
      </c>
    </row>
    <row r="42" spans="1:5" ht="18.75" x14ac:dyDescent="0.3">
      <c r="A42" s="11" t="s">
        <v>126</v>
      </c>
      <c r="B42" s="3">
        <f>-Cash_Flow!D9</f>
        <v>10657</v>
      </c>
      <c r="C42" s="3">
        <f>C7*Model_Assumptions!C7</f>
        <v>6492111.6000000006</v>
      </c>
      <c r="D42" s="3">
        <f>D7*Model_Assumptions!D7</f>
        <v>35706613.800000004</v>
      </c>
      <c r="E42" s="3">
        <f>E7*Model_Assumptions!E7</f>
        <v>178533069</v>
      </c>
    </row>
    <row r="43" spans="1:5" ht="18.75" x14ac:dyDescent="0.3">
      <c r="A43" s="11" t="s">
        <v>170</v>
      </c>
      <c r="B43" s="3">
        <f>B41-B42</f>
        <v>118341</v>
      </c>
      <c r="C43" s="3">
        <f t="shared" ref="C43:E43" si="4">C41-C42</f>
        <v>-1396300276.2</v>
      </c>
      <c r="D43" s="3">
        <f t="shared" si="4"/>
        <v>-10527954634.799999</v>
      </c>
      <c r="E43" s="3">
        <f t="shared" si="4"/>
        <v>-40032604284</v>
      </c>
    </row>
    <row r="44" spans="1:5" ht="18.75" x14ac:dyDescent="0.3">
      <c r="A44" s="11" t="s">
        <v>128</v>
      </c>
      <c r="B44">
        <f>B43/B7</f>
        <v>0.28436350354790574</v>
      </c>
      <c r="C44">
        <f t="shared" ref="C44:E44" si="5">C43/C7</f>
        <v>-559.19875408796122</v>
      </c>
      <c r="D44">
        <f t="shared" si="5"/>
        <v>-766.59977347053837</v>
      </c>
      <c r="E44">
        <f t="shared" si="5"/>
        <v>-582.99995469410771</v>
      </c>
    </row>
    <row r="46" spans="1:5" ht="21" x14ac:dyDescent="0.35">
      <c r="A46" s="12" t="s">
        <v>171</v>
      </c>
    </row>
    <row r="47" spans="1:5" ht="18.75" x14ac:dyDescent="0.3">
      <c r="A47" s="11" t="s">
        <v>105</v>
      </c>
      <c r="B47" s="3">
        <f>B7</f>
        <v>416161</v>
      </c>
      <c r="C47" s="3">
        <f t="shared" ref="C47:E47" si="6">C7</f>
        <v>2496966</v>
      </c>
      <c r="D47" s="3">
        <f t="shared" si="6"/>
        <v>13733313</v>
      </c>
      <c r="E47" s="3">
        <f t="shared" si="6"/>
        <v>68666565</v>
      </c>
    </row>
    <row r="48" spans="1:5" ht="18.75" x14ac:dyDescent="0.3">
      <c r="A48" s="11" t="s">
        <v>108</v>
      </c>
      <c r="B48" s="3">
        <f>B23</f>
        <v>135793</v>
      </c>
      <c r="C48" s="3">
        <f t="shared" ref="C48:E48" si="7">C23</f>
        <v>81650788.200000003</v>
      </c>
      <c r="D48" s="3">
        <f t="shared" si="7"/>
        <v>616625753.70000005</v>
      </c>
      <c r="E48" s="3">
        <f t="shared" si="7"/>
        <v>2341529866.5</v>
      </c>
    </row>
    <row r="49" spans="1:5" ht="18.75" x14ac:dyDescent="0.3">
      <c r="A49" s="11" t="s">
        <v>109</v>
      </c>
      <c r="B49" s="3">
        <f>B34</f>
        <v>112010</v>
      </c>
      <c r="C49" s="3">
        <f t="shared" ref="C49:E49" si="8">C34</f>
        <v>-1388060288.4000001</v>
      </c>
      <c r="D49" s="3">
        <f t="shared" si="8"/>
        <v>-10482634701.9</v>
      </c>
      <c r="E49" s="3">
        <f t="shared" si="8"/>
        <v>-39806004619.5</v>
      </c>
    </row>
    <row r="50" spans="1:5" ht="18.75" x14ac:dyDescent="0.3">
      <c r="A50" s="11" t="s">
        <v>170</v>
      </c>
      <c r="B50" s="3">
        <f>B43</f>
        <v>118341</v>
      </c>
      <c r="C50" s="3">
        <f t="shared" ref="C50:E50" si="9">C43</f>
        <v>-1396300276.2</v>
      </c>
      <c r="D50" s="3">
        <f t="shared" si="9"/>
        <v>-10527954634.799999</v>
      </c>
      <c r="E50" s="3">
        <f t="shared" si="9"/>
        <v>-40032604284</v>
      </c>
    </row>
    <row r="51" spans="1:5" ht="18.75" x14ac:dyDescent="0.3">
      <c r="A51" s="11" t="s">
        <v>67</v>
      </c>
      <c r="B51">
        <f>B24</f>
        <v>0.32629919670512131</v>
      </c>
      <c r="C51">
        <f t="shared" ref="C51:E51" si="10">C24</f>
        <v>32.700000000000003</v>
      </c>
      <c r="D51">
        <f t="shared" si="10"/>
        <v>44.900000000000006</v>
      </c>
      <c r="E51">
        <f t="shared" si="10"/>
        <v>34.1</v>
      </c>
    </row>
    <row r="52" spans="1:5" ht="18.75" x14ac:dyDescent="0.3">
      <c r="A52" s="11" t="s">
        <v>68</v>
      </c>
      <c r="B52">
        <f>B35</f>
        <v>0.26915064121818238</v>
      </c>
      <c r="C52">
        <f t="shared" ref="C52:E52" si="11">C35</f>
        <v>-555.89875408796115</v>
      </c>
      <c r="D52">
        <f t="shared" si="11"/>
        <v>-763.29977347053841</v>
      </c>
      <c r="E52">
        <f t="shared" si="11"/>
        <v>-579.69995469410765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opLeftCell="A28" workbookViewId="0">
      <selection activeCell="B52" sqref="B52"/>
    </sheetView>
  </sheetViews>
  <sheetFormatPr defaultRowHeight="15" x14ac:dyDescent="0.25"/>
  <cols>
    <col min="1" max="1" width="43.5703125" bestFit="1" customWidth="1"/>
    <col min="2" max="2" width="20.7109375" bestFit="1" customWidth="1"/>
    <col min="3" max="5" width="19.7109375" bestFit="1" customWidth="1"/>
  </cols>
  <sheetData>
    <row r="1" spans="1:5" ht="31.5" x14ac:dyDescent="0.5">
      <c r="A1" s="17" t="s">
        <v>172</v>
      </c>
      <c r="B1" s="17"/>
      <c r="C1" s="17"/>
      <c r="D1" s="17"/>
      <c r="E1" s="17"/>
    </row>
    <row r="2" spans="1:5" ht="18.75" x14ac:dyDescent="0.3">
      <c r="A2" s="15" t="s">
        <v>173</v>
      </c>
      <c r="B2" s="15"/>
      <c r="C2" s="15"/>
      <c r="D2" s="15"/>
      <c r="E2" s="15"/>
    </row>
    <row r="3" spans="1:5" ht="21" x14ac:dyDescent="0.35">
      <c r="A3" s="12" t="s">
        <v>0</v>
      </c>
      <c r="B3" s="12" t="s">
        <v>148</v>
      </c>
      <c r="C3" s="12" t="s">
        <v>149</v>
      </c>
      <c r="D3" s="12" t="s">
        <v>150</v>
      </c>
      <c r="E3" s="12" t="s">
        <v>174</v>
      </c>
    </row>
    <row r="5" spans="1:5" ht="21" x14ac:dyDescent="0.35">
      <c r="A5" s="12" t="s">
        <v>175</v>
      </c>
    </row>
    <row r="6" spans="1:5" ht="18.75" x14ac:dyDescent="0.3">
      <c r="A6" s="11" t="s">
        <v>176</v>
      </c>
      <c r="B6" s="2">
        <f>Model_Assumptions!C11/100</f>
        <v>0.09</v>
      </c>
    </row>
    <row r="7" spans="1:5" ht="18.75" x14ac:dyDescent="0.3">
      <c r="A7" s="11" t="s">
        <v>177</v>
      </c>
      <c r="B7" s="2">
        <f>Model_Assumptions!C10/100</f>
        <v>0.03</v>
      </c>
    </row>
    <row r="8" spans="1:5" ht="18.75" x14ac:dyDescent="0.3">
      <c r="A8" s="11" t="s">
        <v>144</v>
      </c>
      <c r="B8" s="3">
        <f>Balance_Sheet!D16+Balance_Sheet!D19-Balance_Sheet!D2-Balance_Sheet!D3</f>
        <v>12572</v>
      </c>
    </row>
    <row r="9" spans="1:5" ht="18.75" x14ac:dyDescent="0.3">
      <c r="A9" s="11" t="s">
        <v>178</v>
      </c>
      <c r="B9" s="3">
        <f>Stock_Market_Data!D5</f>
        <v>4107</v>
      </c>
    </row>
    <row r="10" spans="1:5" ht="18.75" x14ac:dyDescent="0.3">
      <c r="A10" s="11" t="s">
        <v>179</v>
      </c>
      <c r="B10" s="3">
        <f>Stock_Market_Data!D2</f>
        <v>273.85000000000002</v>
      </c>
    </row>
    <row r="12" spans="1:5" ht="21" x14ac:dyDescent="0.35">
      <c r="A12" s="12" t="s">
        <v>180</v>
      </c>
    </row>
    <row r="13" spans="1:5" ht="18.75" x14ac:dyDescent="0.3">
      <c r="A13" s="11" t="s">
        <v>170</v>
      </c>
      <c r="B13" s="8">
        <f>Forecast!C43</f>
        <v>-1396300276.2</v>
      </c>
      <c r="C13" s="8">
        <f>Forecast!D43</f>
        <v>-10527954634.799999</v>
      </c>
      <c r="D13" s="8">
        <f>Forecast!E43</f>
        <v>-40032604284</v>
      </c>
      <c r="E13">
        <f>D13*(1+$B$7)</f>
        <v>-41233582412.520004</v>
      </c>
    </row>
    <row r="14" spans="1:5" ht="18.75" x14ac:dyDescent="0.3">
      <c r="A14" s="11" t="s">
        <v>181</v>
      </c>
      <c r="B14" s="5">
        <f>Forecast!C6</f>
        <v>5</v>
      </c>
      <c r="C14" s="18">
        <f>Forecast!D6</f>
        <v>4.5</v>
      </c>
      <c r="D14" s="18">
        <f>Forecast!E6</f>
        <v>4</v>
      </c>
      <c r="E14">
        <f>$B$7</f>
        <v>0.03</v>
      </c>
    </row>
    <row r="15" spans="1:5" x14ac:dyDescent="0.25">
      <c r="B15" s="18"/>
    </row>
    <row r="16" spans="1:5" ht="21" x14ac:dyDescent="0.35">
      <c r="A16" s="12" t="s">
        <v>182</v>
      </c>
    </row>
    <row r="17" spans="1:5" ht="18.75" x14ac:dyDescent="0.3">
      <c r="A17" s="11" t="s">
        <v>183</v>
      </c>
      <c r="B17">
        <f>1</f>
        <v>1</v>
      </c>
      <c r="C17">
        <f>2</f>
        <v>2</v>
      </c>
      <c r="D17">
        <f>3</f>
        <v>3</v>
      </c>
      <c r="E17">
        <f>3</f>
        <v>3</v>
      </c>
    </row>
    <row r="18" spans="1:5" ht="18.75" x14ac:dyDescent="0.3">
      <c r="A18" s="11" t="s">
        <v>184</v>
      </c>
      <c r="B18" s="2">
        <f>1/(1+$B$6)^B17</f>
        <v>0.9174311926605504</v>
      </c>
      <c r="C18" s="2">
        <f>1/(1+$B$6)^C17</f>
        <v>0.84167999326655996</v>
      </c>
      <c r="D18" s="2">
        <f>1/(1+$B$6)^D17</f>
        <v>0.77218348006106419</v>
      </c>
      <c r="E18" s="2">
        <f>1/(1+$B$6)^E17</f>
        <v>0.77218348006106419</v>
      </c>
    </row>
    <row r="20" spans="1:5" ht="21" x14ac:dyDescent="0.35">
      <c r="A20" s="12" t="s">
        <v>185</v>
      </c>
    </row>
    <row r="21" spans="1:5" ht="18.75" x14ac:dyDescent="0.3">
      <c r="A21" s="11" t="s">
        <v>170</v>
      </c>
      <c r="B21" s="8">
        <f>B13</f>
        <v>-1396300276.2</v>
      </c>
      <c r="C21" s="8">
        <f t="shared" ref="C21:E21" si="0">C13</f>
        <v>-10527954634.799999</v>
      </c>
      <c r="D21" s="8">
        <f t="shared" si="0"/>
        <v>-40032604284</v>
      </c>
      <c r="E21" s="8">
        <f t="shared" si="0"/>
        <v>-41233582412.520004</v>
      </c>
    </row>
    <row r="22" spans="1:5" ht="18.75" x14ac:dyDescent="0.3">
      <c r="A22" s="11" t="s">
        <v>186</v>
      </c>
      <c r="B22" s="3">
        <f>B21*B18</f>
        <v>-1281009427.7064221</v>
      </c>
      <c r="C22" s="3">
        <f t="shared" ref="C22:D22" si="1">C21*C18</f>
        <v>-8861168786.1291122</v>
      </c>
      <c r="D22" s="3">
        <f t="shared" si="1"/>
        <v>-30912515691.926586</v>
      </c>
    </row>
    <row r="24" spans="1:5" ht="21" x14ac:dyDescent="0.35">
      <c r="A24" s="12" t="s">
        <v>187</v>
      </c>
    </row>
    <row r="25" spans="1:5" ht="18.75" x14ac:dyDescent="0.3">
      <c r="A25" s="11" t="s">
        <v>188</v>
      </c>
      <c r="B25" s="3">
        <f>E13</f>
        <v>-41233582412.520004</v>
      </c>
    </row>
    <row r="26" spans="1:5" ht="18.75" x14ac:dyDescent="0.3">
      <c r="A26" s="11" t="s">
        <v>177</v>
      </c>
      <c r="B26" s="2">
        <f>$B$7</f>
        <v>0.03</v>
      </c>
    </row>
    <row r="27" spans="1:5" ht="18.75" x14ac:dyDescent="0.3">
      <c r="A27" s="11" t="s">
        <v>189</v>
      </c>
      <c r="B27" s="3">
        <f>B25*(1+B26)/($B$6-B26)</f>
        <v>-707843164748.26013</v>
      </c>
    </row>
    <row r="29" spans="1:5" ht="21" x14ac:dyDescent="0.35">
      <c r="A29" s="12" t="s">
        <v>190</v>
      </c>
    </row>
    <row r="30" spans="1:5" ht="18.75" x14ac:dyDescent="0.3">
      <c r="A30" s="11" t="s">
        <v>189</v>
      </c>
      <c r="B30" s="3">
        <f>B27</f>
        <v>-707843164748.26013</v>
      </c>
    </row>
    <row r="31" spans="1:5" ht="18.75" x14ac:dyDescent="0.3">
      <c r="A31" s="11" t="s">
        <v>191</v>
      </c>
      <c r="B31" s="2">
        <f>E18</f>
        <v>0.77218348006106419</v>
      </c>
    </row>
    <row r="32" spans="1:5" ht="18.75" x14ac:dyDescent="0.3">
      <c r="A32" s="11" t="s">
        <v>192</v>
      </c>
      <c r="B32" s="3">
        <f>B30*B31</f>
        <v>-546584798292.74872</v>
      </c>
    </row>
    <row r="34" spans="1:2" ht="21" x14ac:dyDescent="0.35">
      <c r="A34" s="12" t="s">
        <v>193</v>
      </c>
    </row>
    <row r="35" spans="1:2" ht="18.75" x14ac:dyDescent="0.3">
      <c r="A35" s="11" t="s">
        <v>194</v>
      </c>
      <c r="B35" s="3">
        <f>B22</f>
        <v>-1281009427.7064221</v>
      </c>
    </row>
    <row r="36" spans="1:2" ht="18.75" x14ac:dyDescent="0.3">
      <c r="A36" s="11" t="s">
        <v>195</v>
      </c>
      <c r="B36" s="3">
        <f>C22</f>
        <v>-8861168786.1291122</v>
      </c>
    </row>
    <row r="37" spans="1:2" ht="18.75" x14ac:dyDescent="0.3">
      <c r="A37" s="11" t="s">
        <v>196</v>
      </c>
      <c r="B37" s="3">
        <f>D22</f>
        <v>-30912515691.926586</v>
      </c>
    </row>
    <row r="38" spans="1:2" ht="18.75" x14ac:dyDescent="0.3">
      <c r="A38" s="11" t="s">
        <v>197</v>
      </c>
      <c r="B38" s="8">
        <f>B32</f>
        <v>-546584798292.74872</v>
      </c>
    </row>
    <row r="39" spans="1:2" ht="18.75" x14ac:dyDescent="0.3">
      <c r="A39" s="11" t="s">
        <v>198</v>
      </c>
      <c r="B39" s="3">
        <f>SUM(B35:B38)</f>
        <v>-587639492198.51086</v>
      </c>
    </row>
    <row r="41" spans="1:2" ht="21" x14ac:dyDescent="0.35">
      <c r="A41" s="12" t="s">
        <v>199</v>
      </c>
    </row>
    <row r="42" spans="1:2" ht="18.75" x14ac:dyDescent="0.3">
      <c r="A42" s="11" t="s">
        <v>198</v>
      </c>
      <c r="B42" s="8">
        <f>B39</f>
        <v>-587639492198.51086</v>
      </c>
    </row>
    <row r="43" spans="1:2" ht="18.75" x14ac:dyDescent="0.3">
      <c r="A43" s="11" t="s">
        <v>200</v>
      </c>
      <c r="B43" s="3">
        <f>B8</f>
        <v>12572</v>
      </c>
    </row>
    <row r="44" spans="1:2" ht="18.75" x14ac:dyDescent="0.3">
      <c r="A44" s="11" t="s">
        <v>201</v>
      </c>
      <c r="B44" s="8">
        <f>B42-B43</f>
        <v>-587639504770.51086</v>
      </c>
    </row>
    <row r="45" spans="1:2" ht="18.75" x14ac:dyDescent="0.3">
      <c r="A45" s="11" t="s">
        <v>178</v>
      </c>
      <c r="B45" s="3">
        <f>B9</f>
        <v>4107</v>
      </c>
    </row>
    <row r="47" spans="1:2" ht="21" x14ac:dyDescent="0.35">
      <c r="A47" s="12" t="s">
        <v>202</v>
      </c>
    </row>
    <row r="48" spans="1:2" ht="18.75" x14ac:dyDescent="0.3">
      <c r="A48" s="11" t="s">
        <v>203</v>
      </c>
      <c r="B48" s="8">
        <f>B44</f>
        <v>-587639504770.51086</v>
      </c>
    </row>
    <row r="49" spans="1:2" ht="18.75" x14ac:dyDescent="0.3">
      <c r="A49" s="11" t="s">
        <v>178</v>
      </c>
      <c r="B49" s="3">
        <f>B45</f>
        <v>4107</v>
      </c>
    </row>
    <row r="50" spans="1:2" ht="18.75" x14ac:dyDescent="0.3">
      <c r="A50" s="11" t="s">
        <v>204</v>
      </c>
      <c r="B50" s="3">
        <f>B48/B49</f>
        <v>-143082421.41965201</v>
      </c>
    </row>
    <row r="51" spans="1:2" ht="18.75" x14ac:dyDescent="0.3">
      <c r="A51" s="11" t="s">
        <v>205</v>
      </c>
      <c r="B51" s="3">
        <f>B10</f>
        <v>273.85000000000002</v>
      </c>
    </row>
    <row r="52" spans="1:2" ht="18.75" x14ac:dyDescent="0.3">
      <c r="A52" s="11" t="s">
        <v>206</v>
      </c>
      <c r="B52" s="5">
        <f>(B50-B51)/B51</f>
        <v>-522485.65006263281</v>
      </c>
    </row>
    <row r="54" spans="1:2" ht="21" x14ac:dyDescent="0.35">
      <c r="A54" s="12" t="s">
        <v>207</v>
      </c>
    </row>
    <row r="55" spans="1:2" ht="18.75" x14ac:dyDescent="0.3">
      <c r="A55" s="11" t="s">
        <v>198</v>
      </c>
      <c r="B55" s="8">
        <f>B39</f>
        <v>-587639492198.51086</v>
      </c>
    </row>
    <row r="56" spans="1:2" ht="18.75" x14ac:dyDescent="0.3">
      <c r="A56" s="11" t="s">
        <v>120</v>
      </c>
      <c r="B56" s="3">
        <f>B43</f>
        <v>12572</v>
      </c>
    </row>
    <row r="57" spans="1:2" ht="18.75" x14ac:dyDescent="0.3">
      <c r="A57" s="11" t="s">
        <v>201</v>
      </c>
      <c r="B57" s="8">
        <f>B55-B56</f>
        <v>-587639504770.51086</v>
      </c>
    </row>
    <row r="58" spans="1:2" ht="18.75" x14ac:dyDescent="0.3">
      <c r="A58" s="11" t="s">
        <v>208</v>
      </c>
      <c r="B58" s="3">
        <f>B57/B45</f>
        <v>-143082421.41965201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22" zoomScaleNormal="100" workbookViewId="0">
      <selection sqref="A1:F1"/>
    </sheetView>
  </sheetViews>
  <sheetFormatPr defaultRowHeight="15" x14ac:dyDescent="0.25"/>
  <cols>
    <col min="1" max="1" width="70.7109375" bestFit="1" customWidth="1"/>
    <col min="2" max="6" width="23.5703125" bestFit="1" customWidth="1"/>
  </cols>
  <sheetData>
    <row r="1" spans="1:6" ht="31.5" x14ac:dyDescent="0.5">
      <c r="A1" s="17" t="s">
        <v>209</v>
      </c>
      <c r="B1" s="17"/>
      <c r="C1" s="17"/>
      <c r="D1" s="17"/>
      <c r="E1" s="17"/>
      <c r="F1" s="17"/>
    </row>
    <row r="2" spans="1:6" ht="21" x14ac:dyDescent="0.35">
      <c r="A2" s="16" t="s">
        <v>210</v>
      </c>
      <c r="B2" s="16"/>
      <c r="C2" s="16"/>
      <c r="D2" s="16"/>
      <c r="E2" s="16"/>
      <c r="F2" s="16"/>
    </row>
    <row r="4" spans="1:6" ht="18.75" x14ac:dyDescent="0.3">
      <c r="A4" s="11" t="s">
        <v>211</v>
      </c>
      <c r="B4" s="30">
        <f>DCF_Valuation!B6</f>
        <v>0.09</v>
      </c>
    </row>
    <row r="5" spans="1:6" ht="18.75" x14ac:dyDescent="0.3">
      <c r="A5" s="11" t="s">
        <v>212</v>
      </c>
      <c r="B5" s="30">
        <f>DCF_Valuation!B7</f>
        <v>0.03</v>
      </c>
    </row>
    <row r="6" spans="1:6" ht="18.75" x14ac:dyDescent="0.3">
      <c r="A6" s="11" t="s">
        <v>213</v>
      </c>
      <c r="B6" s="20">
        <f>DCF_Valuation!B50</f>
        <v>-143082421.41965201</v>
      </c>
    </row>
    <row r="7" spans="1:6" ht="18.75" x14ac:dyDescent="0.3">
      <c r="A7" s="11" t="s">
        <v>214</v>
      </c>
      <c r="B7" s="20">
        <f>DCF_Valuation!B51</f>
        <v>273.85000000000002</v>
      </c>
    </row>
    <row r="10" spans="1:6" ht="23.25" x14ac:dyDescent="0.35">
      <c r="A10" s="32" t="s">
        <v>215</v>
      </c>
      <c r="B10" s="32"/>
      <c r="C10" s="32"/>
      <c r="D10" s="32"/>
      <c r="E10" s="32"/>
      <c r="F10" s="32"/>
    </row>
    <row r="11" spans="1:6" ht="18.75" x14ac:dyDescent="0.3">
      <c r="A11" s="13" t="s">
        <v>216</v>
      </c>
      <c r="B11" s="31">
        <v>0.02</v>
      </c>
      <c r="C11" s="31">
        <v>2.5000000000000001E-2</v>
      </c>
      <c r="D11" s="31">
        <v>0.03</v>
      </c>
      <c r="E11" s="31">
        <v>3.5000000000000003E-2</v>
      </c>
      <c r="F11" s="31">
        <v>0.04</v>
      </c>
    </row>
    <row r="12" spans="1:6" ht="18.75" x14ac:dyDescent="0.3">
      <c r="A12" s="31">
        <v>0.08</v>
      </c>
      <c r="B12" s="22">
        <f>(
SUMPRODUCT(DCF_Valuation!$B$13:$D$13,1/(1+$A12)^DCF_Valuation!$B$17:$D$17)
+
(DCF_Valuation!$D$13*(1+B$11)/($A12-B$11))/(1+$A12)^DCF_Valuation!$E$17
-DCF_Valuation!$B$8
)/DCF_Valuation!$B$9</f>
        <v>-141793036.98866463</v>
      </c>
      <c r="C12" s="22">
        <f>(
SUMPRODUCT(DCF_Valuation!$B$13:$D$13,1/(1+$A12)^DCF_Valuation!$B$17:$D$17)
+
(DCF_Valuation!$D$13*(1+C$11)/($A12-C$11))/(1+$A12)^DCF_Valuation!$E$17
-DCF_Valuation!$B$8
)/DCF_Valuation!$B$9</f>
        <v>-154454902.4402782</v>
      </c>
      <c r="D12" s="22">
        <f>(
SUMPRODUCT(DCF_Valuation!$B$13:$D$13,1/(1+$A12)^DCF_Valuation!$B$17:$D$17)
+
(DCF_Valuation!$D$13*(1+D$11)/($A12-D$11))/(1+$A12)^DCF_Valuation!$E$17
-DCF_Valuation!$B$8
)/DCF_Valuation!$B$9</f>
        <v>-169649140.98221445</v>
      </c>
      <c r="E12" s="22">
        <f>(
SUMPRODUCT(DCF_Valuation!$B$13:$D$13,1/(1+$A12)^DCF_Valuation!$B$17:$D$17)
+
(DCF_Valuation!$D$13*(1+E$11)/($A12-E$11))/(1+$A12)^DCF_Valuation!$E$17
-DCF_Valuation!$B$8
)/DCF_Valuation!$B$9</f>
        <v>-188219876.97791424</v>
      </c>
      <c r="F12" s="22">
        <f>(
SUMPRODUCT(DCF_Valuation!$B$13:$D$13,1/(1+$A12)^DCF_Valuation!$B$17:$D$17)
+
(DCF_Valuation!$D$13*(1+F$11)/($A12-F$11))/(1+$A12)^DCF_Valuation!$E$17
-DCF_Valuation!$B$8
)/DCF_Valuation!$B$9</f>
        <v>-211433296.9725391</v>
      </c>
    </row>
    <row r="13" spans="1:6" ht="18.75" x14ac:dyDescent="0.3">
      <c r="A13" s="31">
        <v>8.5000000000000006E-2</v>
      </c>
      <c r="B13" s="22">
        <f>(
SUMPRODUCT(DCF_Valuation!$B$13:$D$13,1/(1+$A13)^DCF_Valuation!$B$17:$D$17)
+
(DCF_Valuation!$D$13*(1+B$11)/($A13-B$11))/(1+$A13)^DCF_Valuation!$E$17
-DCF_Valuation!$B$8
)/DCF_Valuation!$B$9</f>
        <v>-129875275.73123586</v>
      </c>
      <c r="C13" s="22">
        <f>(
SUMPRODUCT(DCF_Valuation!$B$13:$D$13,1/(1+$A13)^DCF_Valuation!$B$17:$D$17)
+
(DCF_Valuation!$D$13*(1+C$11)/($A13-C$11))/(1+$A13)^DCF_Valuation!$E$17
-DCF_Valuation!$B$8
)/DCF_Valuation!$B$9</f>
        <v>-140490643.91229934</v>
      </c>
      <c r="D13" s="22">
        <f>(
SUMPRODUCT(DCF_Valuation!$B$13:$D$13,1/(1+$A13)^DCF_Valuation!$B$17:$D$17)
+
(DCF_Valuation!$D$13*(1+D$11)/($A13-D$11))/(1+$A13)^DCF_Valuation!$E$17
-DCF_Valuation!$B$8
)/DCF_Valuation!$B$9</f>
        <v>-153036079.03537437</v>
      </c>
      <c r="E13" s="22">
        <f>(
SUMPRODUCT(DCF_Valuation!$B$13:$D$13,1/(1+$A13)^DCF_Valuation!$B$17:$D$17)
+
(DCF_Valuation!$D$13*(1+E$11)/($A13-E$11))/(1+$A13)^DCF_Valuation!$E$17
-DCF_Valuation!$B$8
)/DCF_Valuation!$B$9</f>
        <v>-168090601.18306443</v>
      </c>
      <c r="F13" s="22">
        <f>(
SUMPRODUCT(DCF_Valuation!$B$13:$D$13,1/(1+$A13)^DCF_Valuation!$B$17:$D$17)
+
(DCF_Valuation!$D$13*(1+F$11)/($A13-F$11))/(1+$A13)^DCF_Valuation!$E$17
-DCF_Valuation!$B$8
)/DCF_Valuation!$B$9</f>
        <v>-186490572.69690785</v>
      </c>
    </row>
    <row r="14" spans="1:6" ht="18.75" x14ac:dyDescent="0.3">
      <c r="A14" s="31">
        <v>0.09</v>
      </c>
      <c r="B14" s="22">
        <f>(
SUMPRODUCT(DCF_Valuation!$B$13:$D$13,1/(1+$A14)^DCF_Valuation!$B$17:$D$17)
+
(DCF_Valuation!$D$13*(1+B$11)/($A14-B$11))/(1+$A14)^DCF_Valuation!$E$17
-DCF_Valuation!$B$8
)/DCF_Valuation!$B$9</f>
        <v>-119672320.63448632</v>
      </c>
      <c r="C14" s="22">
        <f>(
SUMPRODUCT(DCF_Valuation!$B$13:$D$13,1/(1+$A14)^DCF_Valuation!$B$17:$D$17)
+
(DCF_Valuation!$D$13*(1+C$11)/($A14-C$11))/(1+$A14)^DCF_Valuation!$E$17
-DCF_Valuation!$B$8
)/DCF_Valuation!$B$9</f>
        <v>-128687923.07796927</v>
      </c>
      <c r="D14" s="22">
        <f>(
SUMPRODUCT(DCF_Valuation!$B$13:$D$13,1/(1+$A14)^DCF_Valuation!$B$17:$D$17)
+
(DCF_Valuation!$D$13*(1+D$11)/($A14-D$11))/(1+$A14)^DCF_Valuation!$E$17
-DCF_Valuation!$B$8
)/DCF_Valuation!$B$9</f>
        <v>-139206125.92869943</v>
      </c>
      <c r="E14" s="22">
        <f>(
SUMPRODUCT(DCF_Valuation!$B$13:$D$13,1/(1+$A14)^DCF_Valuation!$B$17:$D$17)
+
(DCF_Valuation!$D$13*(1+E$11)/($A14-E$11))/(1+$A14)^DCF_Valuation!$E$17
-DCF_Valuation!$B$8
)/DCF_Valuation!$B$9</f>
        <v>-151636729.29774413</v>
      </c>
      <c r="F14" s="22">
        <f>(
SUMPRODUCT(DCF_Valuation!$B$13:$D$13,1/(1+$A14)^DCF_Valuation!$B$17:$D$17)
+
(DCF_Valuation!$D$13*(1+F$11)/($A14-F$11))/(1+$A14)^DCF_Valuation!$E$17
-DCF_Valuation!$B$8
)/DCF_Valuation!$B$9</f>
        <v>-166553453.34059778</v>
      </c>
    </row>
    <row r="15" spans="1:6" ht="18.75" x14ac:dyDescent="0.3">
      <c r="A15" s="31">
        <v>9.5000000000000001E-2</v>
      </c>
      <c r="B15" s="22">
        <f>(
SUMPRODUCT(DCF_Valuation!$B$13:$D$13,1/(1+$A15)^DCF_Valuation!$B$17:$D$17)
+
(DCF_Valuation!$D$13*(1+B$11)/($A15-B$11))/(1+$A15)^DCF_Valuation!$E$17
-DCF_Valuation!$B$8
)/DCF_Valuation!$B$9</f>
        <v>-110841007.03004159</v>
      </c>
      <c r="C15" s="22">
        <f>(
SUMPRODUCT(DCF_Valuation!$B$13:$D$13,1/(1+$A15)^DCF_Valuation!$B$17:$D$17)
+
(DCF_Valuation!$D$13*(1+C$11)/($A15-C$11))/(1+$A15)^DCF_Valuation!$E$17
-DCF_Valuation!$B$8
)/DCF_Valuation!$B$9</f>
        <v>-118583335.69543374</v>
      </c>
      <c r="D15" s="22">
        <f>(
SUMPRODUCT(DCF_Valuation!$B$13:$D$13,1/(1+$A15)^DCF_Valuation!$B$17:$D$17)
+
(DCF_Valuation!$D$13*(1+D$11)/($A15-D$11))/(1+$A15)^DCF_Valuation!$E$17
-DCF_Valuation!$B$8
)/DCF_Valuation!$B$9</f>
        <v>-127516791.84780931</v>
      </c>
      <c r="E15" s="22">
        <f>(
SUMPRODUCT(DCF_Valuation!$B$13:$D$13,1/(1+$A15)^DCF_Valuation!$B$17:$D$17)
+
(DCF_Valuation!$D$13*(1+E$11)/($A15-E$11))/(1+$A15)^DCF_Valuation!$E$17
-DCF_Valuation!$B$8
)/DCF_Valuation!$B$9</f>
        <v>-137939157.3589142</v>
      </c>
      <c r="F15" s="22">
        <f>(
SUMPRODUCT(DCF_Valuation!$B$13:$D$13,1/(1+$A15)^DCF_Valuation!$B$17:$D$17)
+
(DCF_Valuation!$D$13*(1+F$11)/($A15-F$11))/(1+$A15)^DCF_Valuation!$E$17
-DCF_Valuation!$B$8
)/DCF_Valuation!$B$9</f>
        <v>-150256498.41749266</v>
      </c>
    </row>
    <row r="16" spans="1:6" ht="18.75" x14ac:dyDescent="0.3">
      <c r="A16" s="31">
        <v>0.1</v>
      </c>
      <c r="B16" s="22">
        <f>(
SUMPRODUCT(DCF_Valuation!$B$13:$D$13,1/(1+$A16)^DCF_Valuation!$B$17:$D$17)
+
(DCF_Valuation!$D$13*(1+B$11)/($A16-B$11))/(1+$A16)^DCF_Valuation!$E$17
-DCF_Valuation!$B$8
)/DCF_Valuation!$B$9</f>
        <v>-103123965.67455682</v>
      </c>
      <c r="C16" s="22">
        <f>(
SUMPRODUCT(DCF_Valuation!$B$13:$D$13,1/(1+$A16)^DCF_Valuation!$B$17:$D$17)
+
(DCF_Valuation!$D$13*(1+C$11)/($A16-C$11))/(1+$A16)^DCF_Valuation!$E$17
-DCF_Valuation!$B$8
)/DCF_Valuation!$B$9</f>
        <v>-109837056.52126679</v>
      </c>
      <c r="D16" s="22">
        <f>(
SUMPRODUCT(DCF_Valuation!$B$13:$D$13,1/(1+$A16)^DCF_Valuation!$B$17:$D$17)
+
(DCF_Valuation!$D$13*(1+D$11)/($A16-D$11))/(1+$A16)^DCF_Valuation!$E$17
-DCF_Valuation!$B$8
)/DCF_Valuation!$B$9</f>
        <v>-117509160.34607825</v>
      </c>
      <c r="E16" s="22">
        <f>(
SUMPRODUCT(DCF_Valuation!$B$13:$D$13,1/(1+$A16)^DCF_Valuation!$B$17:$D$17)
+
(DCF_Valuation!$D$13*(1+E$11)/($A16-E$11))/(1+$A16)^DCF_Valuation!$E$17
-DCF_Valuation!$B$8
)/DCF_Valuation!$B$9</f>
        <v>-126361587.8362453</v>
      </c>
      <c r="F16" s="22">
        <f>(
SUMPRODUCT(DCF_Valuation!$B$13:$D$13,1/(1+$A16)^DCF_Valuation!$B$17:$D$17)
+
(DCF_Valuation!$D$13*(1+F$11)/($A16-F$11))/(1+$A16)^DCF_Valuation!$E$17
-DCF_Valuation!$B$8
)/DCF_Valuation!$B$9</f>
        <v>-136689419.90810686</v>
      </c>
    </row>
    <row r="19" spans="1:8" ht="23.25" x14ac:dyDescent="0.35">
      <c r="A19" s="32" t="s">
        <v>217</v>
      </c>
      <c r="B19" s="32"/>
      <c r="C19" s="32"/>
      <c r="D19" s="32"/>
      <c r="E19" s="32"/>
      <c r="F19" s="32"/>
    </row>
    <row r="20" spans="1:8" ht="18.75" x14ac:dyDescent="0.3">
      <c r="A20" s="13" t="s">
        <v>216</v>
      </c>
      <c r="B20" s="31">
        <v>0.02</v>
      </c>
      <c r="C20" s="31">
        <v>2.5000000000000001E-2</v>
      </c>
      <c r="D20" s="31">
        <v>0.03</v>
      </c>
      <c r="E20" s="31">
        <v>3.5000000000000003E-2</v>
      </c>
      <c r="F20" s="31">
        <v>0.04</v>
      </c>
    </row>
    <row r="21" spans="1:8" ht="18.75" x14ac:dyDescent="0.3">
      <c r="A21" s="31">
        <v>0.08</v>
      </c>
      <c r="B21" s="24">
        <f>(B12/$B$7)-1</f>
        <v>-517777.28989835538</v>
      </c>
      <c r="C21" s="24">
        <f t="shared" ref="C21:F21" si="0">(C12/$B$7)-1</f>
        <v>-564013.78963037499</v>
      </c>
      <c r="D21" s="24">
        <f t="shared" si="0"/>
        <v>-619497.58930879843</v>
      </c>
      <c r="E21" s="24">
        <f t="shared" si="0"/>
        <v>-687311.12224909337</v>
      </c>
      <c r="F21" s="24">
        <f t="shared" si="0"/>
        <v>-772078.03842446255</v>
      </c>
    </row>
    <row r="22" spans="1:8" ht="18.75" x14ac:dyDescent="0.3">
      <c r="A22" s="31">
        <v>8.5000000000000006E-2</v>
      </c>
      <c r="B22" s="24">
        <f t="shared" ref="B22:F22" si="1">(B13/$B$7)-1</f>
        <v>-474257.98642043403</v>
      </c>
      <c r="C22" s="24">
        <f t="shared" si="1"/>
        <v>-513021.42692093964</v>
      </c>
      <c r="D22" s="24">
        <f t="shared" si="1"/>
        <v>-558832.76569426456</v>
      </c>
      <c r="E22" s="24">
        <f t="shared" si="1"/>
        <v>-613806.37222225463</v>
      </c>
      <c r="F22" s="24">
        <f t="shared" si="1"/>
        <v>-680996.33575646463</v>
      </c>
    </row>
    <row r="23" spans="1:8" ht="18.75" x14ac:dyDescent="0.3">
      <c r="A23" s="31">
        <v>0.09</v>
      </c>
      <c r="B23" s="24">
        <f t="shared" ref="B23:F23" si="2">(B14/$B$7)-1</f>
        <v>-437000.527604478</v>
      </c>
      <c r="C23" s="24">
        <f t="shared" si="2"/>
        <v>-469922.20897560439</v>
      </c>
      <c r="D23" s="24">
        <f t="shared" si="2"/>
        <v>-508330.83724191866</v>
      </c>
      <c r="E23" s="24">
        <f t="shared" si="2"/>
        <v>-553722.85246574448</v>
      </c>
      <c r="F23" s="24">
        <f t="shared" si="2"/>
        <v>-608193.27073433541</v>
      </c>
    </row>
    <row r="24" spans="1:8" ht="18.75" x14ac:dyDescent="0.3">
      <c r="A24" s="31">
        <v>9.5000000000000001E-2</v>
      </c>
      <c r="B24" s="24">
        <f t="shared" ref="B24:F24" si="3">(B15/$B$7)-1</f>
        <v>-404751.80164338718</v>
      </c>
      <c r="C24" s="24">
        <f t="shared" si="3"/>
        <v>-433023.95305982739</v>
      </c>
      <c r="D24" s="24">
        <f t="shared" si="3"/>
        <v>-465645.66623264307</v>
      </c>
      <c r="E24" s="24">
        <f t="shared" si="3"/>
        <v>-503704.33160092821</v>
      </c>
      <c r="F24" s="24">
        <f t="shared" si="3"/>
        <v>-548682.75430890138</v>
      </c>
    </row>
    <row r="25" spans="1:8" ht="18.75" x14ac:dyDescent="0.3">
      <c r="A25" s="31">
        <v>0.1</v>
      </c>
      <c r="B25" s="24">
        <f t="shared" ref="B25:F25" si="4">(B16/$B$7)-1</f>
        <v>-376571.99023026042</v>
      </c>
      <c r="C25" s="24">
        <f t="shared" si="4"/>
        <v>-401085.74172454549</v>
      </c>
      <c r="D25" s="24">
        <f t="shared" si="4"/>
        <v>-429101.45771801437</v>
      </c>
      <c r="E25" s="24">
        <f t="shared" si="4"/>
        <v>-461427.28386432456</v>
      </c>
      <c r="F25" s="24">
        <f t="shared" si="4"/>
        <v>-499140.74770168652</v>
      </c>
    </row>
    <row r="28" spans="1:8" ht="23.25" x14ac:dyDescent="0.35">
      <c r="A28" s="32" t="s">
        <v>218</v>
      </c>
      <c r="B28" s="32"/>
      <c r="C28" s="32"/>
      <c r="D28" s="32"/>
      <c r="E28" s="32"/>
      <c r="F28" s="32"/>
      <c r="G28" s="28"/>
      <c r="H28" s="28"/>
    </row>
    <row r="29" spans="1:8" ht="18.75" x14ac:dyDescent="0.3">
      <c r="A29" s="29" t="s">
        <v>219</v>
      </c>
      <c r="B29" s="29"/>
      <c r="C29" s="29"/>
      <c r="D29" s="29"/>
    </row>
    <row r="30" spans="1:8" ht="18.75" x14ac:dyDescent="0.3">
      <c r="A30" s="29" t="s">
        <v>220</v>
      </c>
      <c r="B30" s="29"/>
      <c r="C30" s="29"/>
      <c r="D30" s="29"/>
    </row>
    <row r="31" spans="1:8" ht="18.75" x14ac:dyDescent="0.3">
      <c r="A31" s="29" t="s">
        <v>221</v>
      </c>
      <c r="B31" s="29"/>
      <c r="C31" s="29"/>
      <c r="D31" s="29"/>
    </row>
    <row r="32" spans="1:8" ht="18.75" x14ac:dyDescent="0.3">
      <c r="A32" s="29" t="s">
        <v>252</v>
      </c>
      <c r="B32" s="29"/>
      <c r="C32" s="29"/>
      <c r="D32" s="29"/>
    </row>
    <row r="33" spans="1:4" ht="18.75" x14ac:dyDescent="0.3">
      <c r="A33" s="14"/>
      <c r="B33" s="14"/>
      <c r="C33" s="14"/>
      <c r="D33" s="14"/>
    </row>
  </sheetData>
  <mergeCells count="9">
    <mergeCell ref="A1:F1"/>
    <mergeCell ref="A2:F2"/>
    <mergeCell ref="A28:F28"/>
    <mergeCell ref="A19:F19"/>
    <mergeCell ref="A10:F10"/>
    <mergeCell ref="A29:D29"/>
    <mergeCell ref="A30:D30"/>
    <mergeCell ref="A31:D31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16" zoomScale="85" zoomScaleNormal="85" workbookViewId="0">
      <selection activeCell="G27" sqref="G27:H27"/>
    </sheetView>
  </sheetViews>
  <sheetFormatPr defaultRowHeight="15" x14ac:dyDescent="0.25"/>
  <cols>
    <col min="1" max="1" width="33.28515625" bestFit="1" customWidth="1"/>
    <col min="2" max="2" width="28.7109375" bestFit="1" customWidth="1"/>
    <col min="3" max="3" width="25.85546875" bestFit="1" customWidth="1"/>
    <col min="4" max="5" width="27.28515625" bestFit="1" customWidth="1"/>
    <col min="6" max="6" width="17.5703125" customWidth="1"/>
    <col min="7" max="7" width="33.28515625" bestFit="1" customWidth="1"/>
    <col min="8" max="8" width="28.7109375" bestFit="1" customWidth="1"/>
  </cols>
  <sheetData>
    <row r="1" spans="1:8" ht="31.5" x14ac:dyDescent="0.5">
      <c r="A1" s="19" t="s">
        <v>222</v>
      </c>
      <c r="B1" s="19"/>
      <c r="C1" s="19"/>
      <c r="D1" s="19"/>
      <c r="E1" s="19"/>
      <c r="F1" s="19"/>
      <c r="G1" s="19"/>
      <c r="H1" s="19"/>
    </row>
    <row r="2" spans="1:8" ht="21" x14ac:dyDescent="0.35">
      <c r="A2" s="27" t="s">
        <v>223</v>
      </c>
      <c r="B2" s="27"/>
      <c r="C2" s="27"/>
      <c r="D2" s="27"/>
      <c r="E2" s="27"/>
      <c r="F2" s="27"/>
      <c r="G2" s="27"/>
      <c r="H2" s="27"/>
    </row>
    <row r="4" spans="1:8" ht="23.25" x14ac:dyDescent="0.35">
      <c r="A4" s="35" t="s">
        <v>224</v>
      </c>
      <c r="B4" s="35"/>
      <c r="D4" s="35" t="s">
        <v>232</v>
      </c>
      <c r="E4" s="35"/>
      <c r="F4" s="35"/>
      <c r="G4" s="35"/>
    </row>
    <row r="5" spans="1:8" ht="21" x14ac:dyDescent="0.35">
      <c r="A5" s="11" t="s">
        <v>214</v>
      </c>
      <c r="B5" s="20">
        <f>DCF_Valuation!B51</f>
        <v>273.85000000000002</v>
      </c>
      <c r="D5" s="10" t="s">
        <v>0</v>
      </c>
      <c r="E5" s="10" t="s">
        <v>1</v>
      </c>
      <c r="F5" s="10" t="s">
        <v>2</v>
      </c>
      <c r="G5" s="10" t="s">
        <v>3</v>
      </c>
    </row>
    <row r="6" spans="1:8" ht="18.75" x14ac:dyDescent="0.3">
      <c r="A6" s="11" t="s">
        <v>225</v>
      </c>
      <c r="B6" s="20">
        <f>DCF_Valuation!B50</f>
        <v>-143082421.41965201</v>
      </c>
      <c r="D6" s="11" t="s">
        <v>4</v>
      </c>
      <c r="E6" s="26">
        <f>Financial_Analysis!B6</f>
        <v>383285</v>
      </c>
      <c r="F6" s="26">
        <f>Financial_Analysis!C6</f>
        <v>391035</v>
      </c>
      <c r="G6" s="26">
        <f>Financial_Analysis!D6</f>
        <v>416161</v>
      </c>
    </row>
    <row r="7" spans="1:8" ht="18.75" x14ac:dyDescent="0.3">
      <c r="A7" s="11" t="s">
        <v>226</v>
      </c>
      <c r="B7" s="20">
        <f>DCF_Valuation!B52</f>
        <v>-522485.65006263281</v>
      </c>
      <c r="D7" s="11" t="s">
        <v>233</v>
      </c>
      <c r="E7" s="23">
        <f>Financial_Analysis!B9</f>
        <v>0.441</v>
      </c>
      <c r="F7" s="23">
        <f>Financial_Analysis!C9</f>
        <v>0.46200000000000002</v>
      </c>
      <c r="G7" s="23">
        <f>Financial_Analysis!D9</f>
        <v>0.46899999999999997</v>
      </c>
    </row>
    <row r="8" spans="1:8" ht="18.75" x14ac:dyDescent="0.3">
      <c r="A8" s="11" t="s">
        <v>227</v>
      </c>
      <c r="B8" s="21">
        <f>DCF_Valuation!B6</f>
        <v>0.09</v>
      </c>
      <c r="D8" s="11" t="s">
        <v>10</v>
      </c>
      <c r="E8" s="26">
        <f>Financial_Analysis!B10</f>
        <v>114301</v>
      </c>
      <c r="F8" s="26">
        <f>Financial_Analysis!C10</f>
        <v>123216</v>
      </c>
      <c r="G8" s="26">
        <f>Financial_Analysis!D10</f>
        <v>135793</v>
      </c>
    </row>
    <row r="9" spans="1:8" ht="18.75" x14ac:dyDescent="0.3">
      <c r="A9" s="11" t="s">
        <v>228</v>
      </c>
      <c r="B9" s="20">
        <f>DCF_Valuation!B44</f>
        <v>-587639504770.51086</v>
      </c>
      <c r="D9" s="11" t="s">
        <v>234</v>
      </c>
      <c r="E9" s="23">
        <f>Financial_Analysis!B11</f>
        <v>0.29799999999999999</v>
      </c>
      <c r="F9" s="23">
        <f>Financial_Analysis!C11</f>
        <v>0.315</v>
      </c>
      <c r="G9" s="23">
        <f>Financial_Analysis!D11</f>
        <v>0.32600000000000001</v>
      </c>
    </row>
    <row r="10" spans="1:8" ht="18.75" x14ac:dyDescent="0.3">
      <c r="A10" s="11" t="s">
        <v>229</v>
      </c>
      <c r="B10" s="21">
        <f>DCF_Valuation!B7</f>
        <v>0.03</v>
      </c>
      <c r="D10" s="11" t="s">
        <v>16</v>
      </c>
      <c r="E10" s="26">
        <f>Financial_Analysis!B12</f>
        <v>96995</v>
      </c>
      <c r="F10" s="26">
        <f>Financial_Analysis!C12</f>
        <v>93736</v>
      </c>
      <c r="G10" s="26">
        <f>Financial_Analysis!D12</f>
        <v>112010</v>
      </c>
    </row>
    <row r="11" spans="1:8" ht="18.75" x14ac:dyDescent="0.3">
      <c r="A11" s="11" t="s">
        <v>230</v>
      </c>
      <c r="B11" s="20">
        <f>DCF_Valuation!B39</f>
        <v>-587639492198.51086</v>
      </c>
      <c r="D11" s="11" t="s">
        <v>235</v>
      </c>
      <c r="E11" s="23">
        <f>Financial_Analysis!B13</f>
        <v>0.253</v>
      </c>
      <c r="F11" s="23">
        <f>Financial_Analysis!C13</f>
        <v>0.24</v>
      </c>
      <c r="G11" s="23">
        <f>Financial_Analysis!D13</f>
        <v>0.26899999999999996</v>
      </c>
    </row>
    <row r="12" spans="1:8" ht="18.75" x14ac:dyDescent="0.3">
      <c r="A12" s="11" t="s">
        <v>231</v>
      </c>
      <c r="B12" s="20">
        <f>DCF_Valuation!B8</f>
        <v>12572</v>
      </c>
      <c r="D12" s="11" t="s">
        <v>236</v>
      </c>
      <c r="E12" s="26">
        <f>Financial_Analysis!B38</f>
        <v>99584</v>
      </c>
      <c r="F12" s="26">
        <f>Financial_Analysis!C38</f>
        <v>108807</v>
      </c>
      <c r="G12" s="26">
        <f>Financial_Analysis!D38</f>
        <v>98767</v>
      </c>
    </row>
    <row r="13" spans="1:8" ht="18.75" x14ac:dyDescent="0.3">
      <c r="D13" s="11" t="s">
        <v>237</v>
      </c>
      <c r="E13" s="26">
        <f>Financial_Analysis!B14</f>
        <v>6.16</v>
      </c>
      <c r="F13" s="26">
        <f>Financial_Analysis!C14</f>
        <v>6.16</v>
      </c>
      <c r="G13" s="26">
        <f>Financial_Analysis!D14</f>
        <v>7.46</v>
      </c>
    </row>
    <row r="15" spans="1:8" ht="23.25" x14ac:dyDescent="0.35">
      <c r="A15" s="35" t="s">
        <v>171</v>
      </c>
      <c r="B15" s="35"/>
      <c r="C15" s="35"/>
      <c r="D15" s="35"/>
      <c r="E15" s="35"/>
      <c r="G15" s="35" t="s">
        <v>172</v>
      </c>
      <c r="H15" s="35"/>
    </row>
    <row r="16" spans="1:8" ht="21" x14ac:dyDescent="0.35">
      <c r="A16" s="13" t="s">
        <v>0</v>
      </c>
      <c r="B16" s="13" t="s">
        <v>147</v>
      </c>
      <c r="C16" s="13" t="s">
        <v>148</v>
      </c>
      <c r="D16" s="13" t="s">
        <v>149</v>
      </c>
      <c r="E16" s="13" t="s">
        <v>150</v>
      </c>
      <c r="G16" s="10" t="s">
        <v>0</v>
      </c>
      <c r="H16" s="10" t="s">
        <v>240</v>
      </c>
    </row>
    <row r="17" spans="1:8" ht="18.75" x14ac:dyDescent="0.3">
      <c r="A17" s="11" t="s">
        <v>4</v>
      </c>
      <c r="B17" s="22">
        <f>Forecast!B7</f>
        <v>416161</v>
      </c>
      <c r="C17" s="22">
        <f>Forecast!C7</f>
        <v>2496966</v>
      </c>
      <c r="D17" s="22">
        <f>Forecast!D7</f>
        <v>13733313</v>
      </c>
      <c r="E17" s="22">
        <f>Forecast!E7</f>
        <v>68666565</v>
      </c>
      <c r="G17" s="11" t="s">
        <v>241</v>
      </c>
      <c r="H17" s="22">
        <f>SUM(DCF_Valuation!B35:B37)</f>
        <v>-41054693905.762123</v>
      </c>
    </row>
    <row r="18" spans="1:8" ht="18.75" x14ac:dyDescent="0.3">
      <c r="A18" s="11" t="s">
        <v>10</v>
      </c>
      <c r="B18" s="22">
        <f>Forecast!B23</f>
        <v>135793</v>
      </c>
      <c r="C18" s="22">
        <f>Forecast!C23</f>
        <v>81650788.200000003</v>
      </c>
      <c r="D18" s="22">
        <f>Forecast!D23</f>
        <v>616625753.70000005</v>
      </c>
      <c r="E18" s="22">
        <f>Forecast!E23</f>
        <v>2341529866.5</v>
      </c>
      <c r="G18" s="11" t="s">
        <v>197</v>
      </c>
      <c r="H18" s="22">
        <f>DCF_Valuation!B38</f>
        <v>-546584798292.74872</v>
      </c>
    </row>
    <row r="19" spans="1:8" ht="18.75" x14ac:dyDescent="0.3">
      <c r="A19" s="11" t="s">
        <v>238</v>
      </c>
      <c r="B19" s="24">
        <f>Forecast!B24</f>
        <v>0.32629919670512131</v>
      </c>
      <c r="C19" s="24">
        <f>Forecast!C24</f>
        <v>32.700000000000003</v>
      </c>
      <c r="D19" s="24">
        <f>Forecast!D24</f>
        <v>44.900000000000006</v>
      </c>
      <c r="E19" s="24">
        <f>Forecast!E24</f>
        <v>34.1</v>
      </c>
      <c r="G19" s="11" t="s">
        <v>230</v>
      </c>
      <c r="H19" s="22">
        <f>DCF_Valuation!B39</f>
        <v>-587639492198.51086</v>
      </c>
    </row>
    <row r="20" spans="1:8" ht="18.75" x14ac:dyDescent="0.3">
      <c r="A20" s="11" t="s">
        <v>16</v>
      </c>
      <c r="B20" s="22">
        <f>Forecast!B34</f>
        <v>112010</v>
      </c>
      <c r="C20" s="22">
        <f>Forecast!C34</f>
        <v>-1388060288.4000001</v>
      </c>
      <c r="D20" s="22">
        <f>Forecast!D34</f>
        <v>-10482634701.9</v>
      </c>
      <c r="E20" s="22">
        <f>Forecast!E34</f>
        <v>-39806004619.5</v>
      </c>
      <c r="G20" s="11" t="s">
        <v>242</v>
      </c>
      <c r="H20" s="22">
        <f>DCF_Valuation!B43</f>
        <v>12572</v>
      </c>
    </row>
    <row r="21" spans="1:8" ht="18.75" x14ac:dyDescent="0.3">
      <c r="A21" s="11" t="s">
        <v>236</v>
      </c>
      <c r="B21" s="22">
        <f>Forecast!B43</f>
        <v>118341</v>
      </c>
      <c r="C21" s="22">
        <f>Forecast!C43</f>
        <v>-1396300276.2</v>
      </c>
      <c r="D21" s="22">
        <f>Forecast!D43</f>
        <v>-10527954634.799999</v>
      </c>
      <c r="E21" s="22">
        <f>Forecast!E43</f>
        <v>-40032604284</v>
      </c>
      <c r="G21" s="11" t="s">
        <v>228</v>
      </c>
      <c r="H21" s="22">
        <f>DCF_Valuation!B44</f>
        <v>-587639504770.51086</v>
      </c>
    </row>
    <row r="22" spans="1:8" ht="18.75" x14ac:dyDescent="0.3">
      <c r="A22" s="11" t="s">
        <v>239</v>
      </c>
      <c r="B22" s="25">
        <f>Forecast!B44</f>
        <v>0.28436350354790574</v>
      </c>
      <c r="C22" s="25">
        <f>Forecast!C44</f>
        <v>-559.19875408796122</v>
      </c>
      <c r="D22" s="25">
        <f>Forecast!D44</f>
        <v>-766.59977347053837</v>
      </c>
      <c r="E22" s="25">
        <f>Forecast!E44</f>
        <v>-582.99995469410771</v>
      </c>
      <c r="G22" s="11" t="s">
        <v>243</v>
      </c>
      <c r="H22" s="22">
        <f>DCF_Valuation!B50</f>
        <v>-143082421.41965201</v>
      </c>
    </row>
    <row r="23" spans="1:8" ht="18.75" x14ac:dyDescent="0.3">
      <c r="G23" s="11" t="s">
        <v>214</v>
      </c>
      <c r="H23" s="22">
        <f>DCF_Valuation!B51</f>
        <v>273.85000000000002</v>
      </c>
    </row>
    <row r="24" spans="1:8" ht="18.75" x14ac:dyDescent="0.3">
      <c r="G24" s="11" t="s">
        <v>226</v>
      </c>
      <c r="H24" s="25">
        <f>DCF_Valuation!B52</f>
        <v>-522485.65006263281</v>
      </c>
    </row>
    <row r="25" spans="1:8" ht="23.25" x14ac:dyDescent="0.35">
      <c r="A25" s="35" t="s">
        <v>251</v>
      </c>
      <c r="B25" s="35"/>
      <c r="C25" s="35"/>
      <c r="D25" s="35"/>
      <c r="E25" s="35"/>
    </row>
    <row r="26" spans="1:8" ht="18.75" x14ac:dyDescent="0.3">
      <c r="A26" s="29" t="s">
        <v>253</v>
      </c>
      <c r="B26" s="33"/>
      <c r="C26" s="33"/>
      <c r="D26" s="33"/>
      <c r="E26" s="33"/>
    </row>
    <row r="27" spans="1:8" ht="23.25" x14ac:dyDescent="0.35">
      <c r="A27" s="29" t="s">
        <v>254</v>
      </c>
      <c r="B27" s="33"/>
      <c r="C27" s="33"/>
      <c r="D27" s="33"/>
      <c r="E27" s="33"/>
      <c r="G27" s="35" t="s">
        <v>244</v>
      </c>
      <c r="H27" s="35"/>
    </row>
    <row r="28" spans="1:8" ht="18.75" x14ac:dyDescent="0.3">
      <c r="A28" s="29" t="s">
        <v>255</v>
      </c>
      <c r="B28" s="33"/>
      <c r="C28" s="33"/>
      <c r="D28" s="33"/>
      <c r="E28" s="33"/>
      <c r="G28" s="13" t="s">
        <v>245</v>
      </c>
      <c r="H28" s="13" t="s">
        <v>243</v>
      </c>
    </row>
    <row r="29" spans="1:8" ht="18.75" x14ac:dyDescent="0.3">
      <c r="A29" s="34" t="s">
        <v>256</v>
      </c>
      <c r="B29" s="34"/>
      <c r="C29" s="34"/>
      <c r="D29" s="34"/>
      <c r="E29" s="34"/>
      <c r="G29" s="11" t="s">
        <v>246</v>
      </c>
      <c r="H29" s="22">
        <f>Sensitivity!B12</f>
        <v>-141793036.98866463</v>
      </c>
    </row>
    <row r="30" spans="1:8" ht="18.75" x14ac:dyDescent="0.3">
      <c r="A30" s="29" t="s">
        <v>257</v>
      </c>
      <c r="B30" s="29"/>
      <c r="C30" s="29"/>
      <c r="D30" s="29"/>
      <c r="E30" s="29"/>
      <c r="G30" s="11" t="s">
        <v>247</v>
      </c>
      <c r="H30" s="22">
        <f>Sensitivity!B13</f>
        <v>-129875275.73123586</v>
      </c>
    </row>
    <row r="31" spans="1:8" ht="18.75" x14ac:dyDescent="0.3">
      <c r="G31" s="11" t="s">
        <v>248</v>
      </c>
      <c r="H31" s="22">
        <f>Sensitivity!B14</f>
        <v>-119672320.63448632</v>
      </c>
    </row>
    <row r="32" spans="1:8" ht="18.75" x14ac:dyDescent="0.3">
      <c r="G32" s="11" t="s">
        <v>249</v>
      </c>
      <c r="H32" s="22">
        <f>Sensitivity!B15</f>
        <v>-110841007.03004159</v>
      </c>
    </row>
    <row r="33" spans="7:8" ht="18.75" x14ac:dyDescent="0.3">
      <c r="G33" s="11" t="s">
        <v>250</v>
      </c>
      <c r="H33" s="22">
        <f>Sensitivity!B16</f>
        <v>-103123965.67455682</v>
      </c>
    </row>
  </sheetData>
  <mergeCells count="13">
    <mergeCell ref="G27:H27"/>
    <mergeCell ref="D4:G4"/>
    <mergeCell ref="G15:H15"/>
    <mergeCell ref="A25:E25"/>
    <mergeCell ref="A26:E26"/>
    <mergeCell ref="A27:E27"/>
    <mergeCell ref="A28:E28"/>
    <mergeCell ref="A29:E29"/>
    <mergeCell ref="A30:E30"/>
    <mergeCell ref="A1:H1"/>
    <mergeCell ref="A2:H2"/>
    <mergeCell ref="A4:B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Income_Statement</vt:lpstr>
      <vt:lpstr>Balance_Sheet</vt:lpstr>
      <vt:lpstr>Cash_Flow</vt:lpstr>
      <vt:lpstr>Financial_Ratios</vt:lpstr>
      <vt:lpstr>Stock_Market_Data</vt:lpstr>
      <vt:lpstr>Model_Assumptions</vt:lpstr>
      <vt:lpstr>Financial_Analysis</vt:lpstr>
      <vt:lpstr>Forecast</vt:lpstr>
      <vt:lpstr>DCF_Valuation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Village computer mpk</cp:lastModifiedBy>
  <dcterms:created xsi:type="dcterms:W3CDTF">2026-09-23T07:06:35Z</dcterms:created>
  <dcterms:modified xsi:type="dcterms:W3CDTF">2026-09-24T01:14:19Z</dcterms:modified>
</cp:coreProperties>
</file>